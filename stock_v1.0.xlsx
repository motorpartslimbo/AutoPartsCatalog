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F14" i="2"/>
  <c r="E14" i="2"/>
  <c r="D14" i="2"/>
  <c r="J14" i="2" s="1"/>
  <c r="C14" i="2"/>
  <c r="B14" i="2"/>
  <c r="A14" i="2"/>
  <c r="P13" i="2"/>
  <c r="O13" i="2"/>
  <c r="N13" i="2"/>
  <c r="M13" i="2"/>
  <c r="L13" i="2"/>
  <c r="F13" i="2"/>
  <c r="E13" i="2"/>
  <c r="D13" i="2"/>
  <c r="C13" i="2"/>
  <c r="B13" i="2"/>
  <c r="A13" i="2"/>
  <c r="P12" i="2"/>
  <c r="O12" i="2"/>
  <c r="N12" i="2"/>
  <c r="M12" i="2"/>
  <c r="L12" i="2"/>
  <c r="J12" i="2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D11" i="2"/>
  <c r="C11" i="2"/>
  <c r="B11" i="2"/>
  <c r="A11" i="2"/>
  <c r="P10" i="2"/>
  <c r="O10" i="2"/>
  <c r="N10" i="2"/>
  <c r="M10" i="2"/>
  <c r="L10" i="2"/>
  <c r="F10" i="2"/>
  <c r="E10" i="2"/>
  <c r="D10" i="2"/>
  <c r="C10" i="2"/>
  <c r="B10" i="2"/>
  <c r="A10" i="2"/>
  <c r="P9" i="2"/>
  <c r="O9" i="2"/>
  <c r="N9" i="2"/>
  <c r="M9" i="2"/>
  <c r="L9" i="2"/>
  <c r="F9" i="2"/>
  <c r="E9" i="2"/>
  <c r="D9" i="2"/>
  <c r="J9" i="2" s="1"/>
  <c r="C9" i="2"/>
  <c r="B9" i="2"/>
  <c r="A9" i="2"/>
  <c r="P8" i="2"/>
  <c r="O8" i="2"/>
  <c r="N8" i="2"/>
  <c r="M8" i="2"/>
  <c r="L8" i="2"/>
  <c r="F8" i="2"/>
  <c r="E8" i="2"/>
  <c r="D8" i="2"/>
  <c r="C8" i="2"/>
  <c r="B8" i="2"/>
  <c r="A8" i="2"/>
  <c r="P7" i="2"/>
  <c r="O7" i="2"/>
  <c r="N7" i="2"/>
  <c r="M7" i="2"/>
  <c r="L7" i="2"/>
  <c r="F7" i="2"/>
  <c r="E7" i="2"/>
  <c r="D7" i="2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I14" i="2" l="1"/>
  <c r="G14" i="2"/>
  <c r="K14" i="2" s="1"/>
  <c r="J13" i="2"/>
  <c r="G13" i="2"/>
  <c r="H13" i="2" s="1"/>
  <c r="I12" i="2"/>
  <c r="G12" i="2"/>
  <c r="K12" i="2" s="1"/>
  <c r="J11" i="2"/>
  <c r="G11" i="2"/>
  <c r="H11" i="2" s="1"/>
  <c r="J10" i="2"/>
  <c r="I10" i="2"/>
  <c r="G10" i="2"/>
  <c r="K10" i="2" s="1"/>
  <c r="G9" i="2"/>
  <c r="H9" i="2" s="1"/>
  <c r="I8" i="2"/>
  <c r="G8" i="2"/>
  <c r="K8" i="2" s="1"/>
  <c r="J8" i="2"/>
  <c r="J7" i="2"/>
  <c r="G7" i="2"/>
  <c r="H7" i="2" s="1"/>
  <c r="K6" i="2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H12" i="2" l="1"/>
  <c r="H10" i="2"/>
  <c r="H8" i="2"/>
  <c r="K3" i="2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<sst xmlns="http://schemas.openxmlformats.org/spreadsheetml/2006/main" count="186" uniqueCount="68">
  <si>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</si>
  <si>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</si>
  <si>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</si>
  <si>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</si>
  <si>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</si>
  <si>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</si>
  <si>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</si>
  <si>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</si>
  <si>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</si>
  <si>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</si>
  <si>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</si>
  <si>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</si>
  <si>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</si>
  <si>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</si>
  <si>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</si>
  <si>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</si>
  <si>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</si>
  <si>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</si>
  <si>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</si>
  <si>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</si>
  <si>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</si>
  <si>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</si>
  <si>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</si>
  <si>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</si>
  <si>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</si>
  <si>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</si>
  <si>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</si>
  <si>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</si>
  <si>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</si>
  <si>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</si>
  <si>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</si>
  <si>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</si>
  <si>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</si>
  <si>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</si>
  <si>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</si>
  <si>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</si>
  <si>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</si>
  <si>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</si>
  <si>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</si>
  <si>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</si>
  <si>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</si>
  <si>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</si>
  <si>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</si>
  <si>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</si>
  <si>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</si>
  <si>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</si>
  <si>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</si>
  <si>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</si>
  <si>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</si>
  <si>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</si>
  <si>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</si>
  <si>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</si>
  <si>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</si>
  <si>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</si>
  <si>
    <t>D6108H</t>
  </si>
  <si>
    <t>D2082MH</t>
  </si>
  <si>
    <t>K2333</t>
  </si>
  <si>
    <t>Колодки тормозные задние  барабанные, комплект</t>
  </si>
  <si>
    <t>HYUNDAI/KIA</t>
  </si>
  <si>
    <t>583052WA00</t>
  </si>
  <si>
    <t>ABS</t>
  </si>
  <si>
    <t xml:space="preserve">Колодки тормозные задние  барабанные ручного тормоза, комплект, </t>
  </si>
  <si>
    <t>PATRON</t>
  </si>
  <si>
    <t>PSP284</t>
  </si>
  <si>
    <t>AKEBONO</t>
  </si>
  <si>
    <t>AN691WK</t>
  </si>
  <si>
    <t>TEXTAR</t>
  </si>
  <si>
    <t>ROADHOUSE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</si>
</sst>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workbookViewId="0">
      <selection activeCell="E34" sqref="E33:E34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0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0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 t="s">
        <v>21</v>
      </c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>
        <v>46237</v>
      </c>
      <c r="B7" s="10" t="s">
        <v>45</v>
      </c>
      <c r="C7" s="10" t="s">
        <v>54</v>
      </c>
      <c r="D7" s="5" t="s">
        <v>51</v>
      </c>
      <c r="E7" s="6">
        <v>1</v>
      </c>
      <c r="F7" s="7">
        <v>0</v>
      </c>
      <c r="G7" s="7">
        <v>6000</v>
      </c>
      <c r="H7" s="10" t="s">
        <v>21</v>
      </c>
      <c r="I7" s="10" t="s">
        <v>21</v>
      </c>
      <c r="J7" s="10" t="s">
        <v>21</v>
      </c>
      <c r="K7" s="10" t="s">
        <v>21</v>
      </c>
      <c r="L7" s="10" t="s">
        <v>21</v>
      </c>
      <c r="M7" s="10" t="s">
        <v>21</v>
      </c>
      <c r="N7" s="10">
        <v>172903965</v>
      </c>
      <c r="O7" s="10"/>
      <c r="P7" s="10" t="s">
        <v>47</v>
      </c>
      <c r="Q7" s="8">
        <v>46237</v>
      </c>
      <c r="R7" s="10"/>
    </row>
    <row r="8" spans="1:18">
      <c r="A8" s="8">
        <v>46238</v>
      </c>
      <c r="B8" s="10" t="s">
        <v>45</v>
      </c>
      <c r="C8" s="10" t="s">
        <v>55</v>
      </c>
      <c r="D8" s="5" t="s">
        <v>51</v>
      </c>
      <c r="E8" s="6">
        <v>1</v>
      </c>
      <c r="F8" s="7">
        <v>0</v>
      </c>
      <c r="G8" s="7">
        <v>10000</v>
      </c>
      <c r="H8" s="10" t="s">
        <v>21</v>
      </c>
      <c r="I8" s="10" t="s">
        <v>21</v>
      </c>
      <c r="J8" s="10" t="s">
        <v>21</v>
      </c>
      <c r="K8" s="10" t="s">
        <v>21</v>
      </c>
      <c r="L8" s="10" t="s">
        <v>21</v>
      </c>
      <c r="M8" s="10" t="s">
        <v>21</v>
      </c>
      <c r="N8" s="10">
        <v>172985889</v>
      </c>
      <c r="O8" s="10"/>
      <c r="P8" s="10"/>
      <c r="Q8" s="8">
        <v>46238</v>
      </c>
      <c r="R8" s="10"/>
    </row>
    <row r="9" spans="1:18" ht="28.5">
      <c r="A9" s="8">
        <v>46239</v>
      </c>
      <c r="B9" s="10" t="s">
        <v>45</v>
      </c>
      <c r="C9" s="10" t="s">
        <v>56</v>
      </c>
      <c r="D9" s="5" t="s">
        <v>57</v>
      </c>
      <c r="E9" s="6">
        <v>1</v>
      </c>
      <c r="F9" s="7">
        <v>0</v>
      </c>
      <c r="G9" s="7">
        <v>12000</v>
      </c>
      <c r="H9" s="10" t="s">
        <v>21</v>
      </c>
      <c r="I9" s="10" t="s">
        <v>21</v>
      </c>
      <c r="J9" s="10" t="s">
        <v>21</v>
      </c>
      <c r="K9" s="10" t="s">
        <v>21</v>
      </c>
      <c r="L9" s="10" t="s">
        <v>21</v>
      </c>
      <c r="M9" s="10" t="s">
        <v>21</v>
      </c>
      <c r="N9" s="10">
        <v>172999972</v>
      </c>
      <c r="O9" s="10"/>
      <c r="P9" s="10"/>
      <c r="Q9" s="8">
        <v>46239</v>
      </c>
      <c r="R9" s="10"/>
    </row>
    <row r="10" spans="1:18" ht="28.5">
      <c r="A10" s="8">
        <v>46239</v>
      </c>
      <c r="B10" s="10" t="s">
        <v>58</v>
      </c>
      <c r="C10" s="10" t="s">
        <v>59</v>
      </c>
      <c r="D10" s="5" t="s">
        <v>57</v>
      </c>
      <c r="E10" s="6">
        <v>1</v>
      </c>
      <c r="F10" s="7">
        <v>0</v>
      </c>
      <c r="G10" s="7">
        <v>16000</v>
      </c>
      <c r="H10" s="10" t="s">
        <v>21</v>
      </c>
      <c r="I10" s="10" t="s">
        <v>21</v>
      </c>
      <c r="J10" s="10" t="s">
        <v>21</v>
      </c>
      <c r="K10" s="10" t="s">
        <v>21</v>
      </c>
      <c r="L10" s="10" t="s">
        <v>21</v>
      </c>
      <c r="M10" s="10" t="s">
        <v>21</v>
      </c>
      <c r="N10" s="10">
        <v>173035824</v>
      </c>
      <c r="O10" s="10"/>
      <c r="P10" s="10"/>
      <c r="Q10" s="8">
        <v>46239</v>
      </c>
      <c r="R10" s="10"/>
    </row>
    <row r="11" spans="1:18" ht="42.75">
      <c r="A11" s="8">
        <v>46239</v>
      </c>
      <c r="B11" s="10" t="s">
        <v>60</v>
      </c>
      <c r="C11" s="10">
        <v>9116</v>
      </c>
      <c r="D11" s="5" t="s">
        <v>61</v>
      </c>
      <c r="E11" s="6">
        <v>1</v>
      </c>
      <c r="F11" s="7">
        <v>0</v>
      </c>
      <c r="G11" s="7">
        <v>6800</v>
      </c>
      <c r="H11" s="10" t="s">
        <v>21</v>
      </c>
      <c r="I11" s="10" t="s">
        <v>21</v>
      </c>
      <c r="J11" s="10" t="s">
        <v>21</v>
      </c>
      <c r="K11" s="10" t="s">
        <v>21</v>
      </c>
      <c r="L11" s="10" t="s">
        <v>21</v>
      </c>
      <c r="M11" s="10" t="s">
        <v>21</v>
      </c>
      <c r="N11" s="10">
        <v>173040235</v>
      </c>
      <c r="O11" s="10"/>
      <c r="P11" s="10"/>
      <c r="Q11" s="8">
        <v>46239</v>
      </c>
      <c r="R11" s="10"/>
    </row>
    <row r="12" spans="1:18" ht="28.5">
      <c r="A12" s="8">
        <v>46240</v>
      </c>
      <c r="B12" s="10" t="s">
        <v>62</v>
      </c>
      <c r="C12" s="10" t="s">
        <v>63</v>
      </c>
      <c r="D12" s="5" t="s">
        <v>57</v>
      </c>
      <c r="E12" s="6">
        <v>1</v>
      </c>
      <c r="F12" s="7">
        <v>0</v>
      </c>
      <c r="G12" s="7">
        <v>9000</v>
      </c>
      <c r="H12" s="10" t="s">
        <v>21</v>
      </c>
      <c r="I12" s="10" t="s">
        <v>21</v>
      </c>
      <c r="J12" s="10" t="s">
        <v>21</v>
      </c>
      <c r="K12" s="10" t="s">
        <v>21</v>
      </c>
      <c r="L12" s="10" t="s">
        <v>21</v>
      </c>
      <c r="M12" s="10" t="s">
        <v>21</v>
      </c>
      <c r="N12" s="10">
        <v>173088211</v>
      </c>
      <c r="O12" s="10"/>
      <c r="P12" s="10"/>
      <c r="Q12" s="8">
        <v>46240</v>
      </c>
      <c r="R12" s="10"/>
    </row>
    <row r="13" spans="1:18">
      <c r="A13" s="8">
        <v>46241</v>
      </c>
      <c r="B13" s="10" t="s">
        <v>64</v>
      </c>
      <c r="C13" s="10" t="s">
        <v>65</v>
      </c>
      <c r="D13" s="5" t="s">
        <v>51</v>
      </c>
      <c r="E13" s="6">
        <v>1</v>
      </c>
      <c r="F13" s="7">
        <v>0</v>
      </c>
      <c r="G13" s="7">
        <v>9000</v>
      </c>
      <c r="H13" s="10" t="s">
        <v>21</v>
      </c>
      <c r="I13" s="10" t="s">
        <v>21</v>
      </c>
      <c r="J13" s="10" t="s">
        <v>21</v>
      </c>
      <c r="K13" s="10" t="s">
        <v>21</v>
      </c>
      <c r="L13" s="10" t="s">
        <v>21</v>
      </c>
      <c r="M13" s="10" t="s">
        <v>21</v>
      </c>
      <c r="N13" s="10">
        <v>173135153</v>
      </c>
      <c r="O13" s="10"/>
      <c r="P13" s="10"/>
      <c r="Q13" s="8">
        <v>46241</v>
      </c>
      <c r="R13" s="10"/>
    </row>
    <row r="14" spans="1:18">
      <c r="A14" s="8">
        <v>46241</v>
      </c>
      <c r="B14" s="10" t="s">
        <v>66</v>
      </c>
      <c r="C14" s="10">
        <v>2176603</v>
      </c>
      <c r="D14" s="5" t="s">
        <v>20</v>
      </c>
      <c r="E14" s="6">
        <v>1</v>
      </c>
      <c r="F14" s="7">
        <v>0</v>
      </c>
      <c r="G14" s="7">
        <v>7000</v>
      </c>
      <c r="H14" s="10" t="s">
        <v>21</v>
      </c>
      <c r="I14" s="10" t="s">
        <v>21</v>
      </c>
      <c r="J14" s="10" t="s">
        <v>21</v>
      </c>
      <c r="K14" s="10" t="s">
        <v>21</v>
      </c>
      <c r="L14" s="10" t="s">
        <v>21</v>
      </c>
      <c r="M14" s="10" t="s">
        <v>21</v>
      </c>
      <c r="N14" s="10">
        <v>173197265</v>
      </c>
      <c r="O14" s="10"/>
      <c r="P14" s="10"/>
      <c r="Q14" s="8">
        <v>46242</v>
      </c>
      <c r="R14" s="10"/>
    </row>
    <row r="15" spans="1:18">
      <c r="A15" s="8">
        <v>46242</v>
      </c>
      <c r="B15" s="10" t="s">
        <v>67</v>
      </c>
      <c r="C15" s="10">
        <v>228220</v>
      </c>
      <c r="D15" s="5" t="s">
        <v>20</v>
      </c>
      <c r="E15" s="6">
        <v>1</v>
      </c>
      <c r="F15" s="7">
        <v>0</v>
      </c>
      <c r="G15" s="7">
        <v>7000</v>
      </c>
      <c r="H15" s="10" t="s">
        <v>21</v>
      </c>
      <c r="I15" s="10" t="s">
        <v>21</v>
      </c>
      <c r="J15" s="10" t="s">
        <v>21</v>
      </c>
      <c r="K15" s="10" t="s">
        <v>21</v>
      </c>
      <c r="L15" s="10" t="s">
        <v>21</v>
      </c>
      <c r="M15" s="10" t="s">
        <v>21</v>
      </c>
      <c r="N15" s="10">
        <v>173199833</v>
      </c>
      <c r="O15" s="10"/>
      <c r="P15" s="10"/>
      <c r="Q15" s="8">
        <v>46242</v>
      </c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 ht="28.5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 ht="28.5">
      <c r="A7" s="10" t="str">
        <f>IF(Инвентаризация!C7="","",Инвентаризация!B7)</f>
        <v>MK KASHIYAMA</v>
      </c>
      <c r="B7" s="10" t="str">
        <f>IF(Инвентаризация!C7="","",Инвентаризация!C7)</f>
        <v>D6108H</v>
      </c>
      <c r="C7" s="5" t="str">
        <f>IF(Инвентаризация!C7="","",Инвентаризация!D7)</f>
        <v>Колодки тормозные передние</v>
      </c>
      <c r="D7" s="11">
        <f>IF(Инвентаризация!C7="","",Инвентаризация!E7)</f>
        <v>1</v>
      </c>
      <c r="E7" s="12">
        <f>IF(Инвентаризация!C7="","",Инвентаризация!F7)</f>
        <v>0</v>
      </c>
      <c r="F7" s="12">
        <f>IF(Инвентаризация!C7="","",Инвентаризация!G7)</f>
        <v>6000</v>
      </c>
      <c r="G7" s="12">
        <f t="shared" si="0"/>
        <v>6000</v>
      </c>
      <c r="H7" s="13">
        <f t="shared" si="1"/>
        <v>1</v>
      </c>
      <c r="I7" s="12">
        <f t="shared" si="2"/>
        <v>0</v>
      </c>
      <c r="J7" s="12">
        <f t="shared" si="3"/>
        <v>6000</v>
      </c>
      <c r="K7" s="12">
        <f t="shared" si="4"/>
        <v>6000</v>
      </c>
      <c r="L7" s="10" t="str">
        <f>IF(Инвентаризация!C7="","",Инвентаризация!M7)</f>
        <v>Да</v>
      </c>
      <c r="M7" s="10">
        <f>IF(Инвентаризация!C7="","",Инвентаризация!N7)</f>
        <v>172903965</v>
      </c>
      <c r="N7" s="10">
        <f>IF(Инвентаризация!C7="","",Инвентаризация!O7)</f>
        <v>0</v>
      </c>
      <c r="O7" s="10" t="str">
        <f>IF(Инвентаризация!C7="","",Инвентаризация!P7)</f>
        <v>ARMTEK</v>
      </c>
      <c r="P7" s="8">
        <f>IF(Инвентаризация!C7="","",Инвентаризация!Q7)</f>
        <v>46237</v>
      </c>
    </row>
    <row r="8" spans="1:16" ht="28.5">
      <c r="A8" s="10" t="str">
        <f>IF(Инвентаризация!C8="","",Инвентаризация!B8)</f>
        <v>MK KASHIYAMA</v>
      </c>
      <c r="B8" s="10" t="str">
        <f>IF(Инвентаризация!C8="","",Инвентаризация!C8)</f>
        <v>D2082MH</v>
      </c>
      <c r="C8" s="5" t="str">
        <f>IF(Инвентаризация!C8="","",Инвентаризация!D8)</f>
        <v>Колодки тормозные передние</v>
      </c>
      <c r="D8" s="11">
        <f>IF(Инвентаризация!C8="","",Инвентаризация!E8)</f>
        <v>1</v>
      </c>
      <c r="E8" s="12">
        <f>IF(Инвентаризация!C8="","",Инвентаризация!F8)</f>
        <v>0</v>
      </c>
      <c r="F8" s="12">
        <f>IF(Инвентаризация!C8="","",Инвентаризация!G8)</f>
        <v>10000</v>
      </c>
      <c r="G8" s="12">
        <f t="shared" si="0"/>
        <v>10000</v>
      </c>
      <c r="H8" s="13">
        <f t="shared" si="1"/>
        <v>1</v>
      </c>
      <c r="I8" s="12">
        <f t="shared" si="2"/>
        <v>0</v>
      </c>
      <c r="J8" s="12">
        <f t="shared" si="3"/>
        <v>10000</v>
      </c>
      <c r="K8" s="12">
        <f t="shared" si="4"/>
        <v>10000</v>
      </c>
      <c r="L8" s="10" t="str">
        <f>IF(Инвентаризация!C8="","",Инвентаризация!M8)</f>
        <v>Да</v>
      </c>
      <c r="M8" s="10">
        <f>IF(Инвентаризация!C8="","",Инвентаризация!N8)</f>
        <v>172985889</v>
      </c>
      <c r="N8" s="10">
        <f>IF(Инвентаризация!C8="","",Инвентаризация!O8)</f>
        <v>0</v>
      </c>
      <c r="O8" s="10">
        <f>IF(Инвентаризация!C8="","",Инвентаризация!P8)</f>
        <v>0</v>
      </c>
      <c r="P8" s="8">
        <f>IF(Инвентаризация!C8="","",Инвентаризация!Q8)</f>
        <v>46238</v>
      </c>
    </row>
    <row r="9" spans="1:16" ht="28.5">
      <c r="A9" s="10" t="str">
        <f>IF(Инвентаризация!C9="","",Инвентаризация!B9)</f>
        <v>MK KASHIYAMA</v>
      </c>
      <c r="B9" s="10" t="str">
        <f>IF(Инвентаризация!C9="","",Инвентаризация!C9)</f>
        <v>K2333</v>
      </c>
      <c r="C9" s="5" t="str">
        <f>IF(Инвентаризация!C9="","",Инвентаризация!D9)</f>
        <v>Колодки тормозные задние  барабанные, комплект</v>
      </c>
      <c r="D9" s="11">
        <f>IF(Инвентаризация!C9="","",Инвентаризация!E9)</f>
        <v>1</v>
      </c>
      <c r="E9" s="12">
        <f>IF(Инвентаризация!C9="","",Инвентаризация!F9)</f>
        <v>0</v>
      </c>
      <c r="F9" s="12">
        <f>IF(Инвентаризация!C9="","",Инвентаризация!G9)</f>
        <v>12000</v>
      </c>
      <c r="G9" s="12">
        <f t="shared" si="0"/>
        <v>12000</v>
      </c>
      <c r="H9" s="13">
        <f t="shared" si="1"/>
        <v>1</v>
      </c>
      <c r="I9" s="12">
        <f t="shared" si="2"/>
        <v>0</v>
      </c>
      <c r="J9" s="12">
        <f t="shared" si="3"/>
        <v>12000</v>
      </c>
      <c r="K9" s="12">
        <f t="shared" si="4"/>
        <v>12000</v>
      </c>
      <c r="L9" s="10" t="str">
        <f>IF(Инвентаризация!C9="","",Инвентаризация!M9)</f>
        <v>Да</v>
      </c>
      <c r="M9" s="10">
        <f>IF(Инвентаризация!C9="","",Инвентаризация!N9)</f>
        <v>172999972</v>
      </c>
      <c r="N9" s="10">
        <f>IF(Инвентаризация!C9="","",Инвентаризация!O9)</f>
        <v>0</v>
      </c>
      <c r="O9" s="10">
        <f>IF(Инвентаризация!C9="","",Инвентаризация!P9)</f>
        <v>0</v>
      </c>
      <c r="P9" s="8">
        <f>IF(Инвентаризация!C9="","",Инвентаризация!Q9)</f>
        <v>46239</v>
      </c>
    </row>
    <row r="10" spans="1:16" ht="28.5">
      <c r="A10" s="10" t="str">
        <f>IF(Инвентаризация!C10="","",Инвентаризация!B10)</f>
        <v>HYUNDAI/KIA</v>
      </c>
      <c r="B10" s="10" t="str">
        <f>IF(Инвентаризация!C10="","",Инвентаризация!C10)</f>
        <v>583052WA00</v>
      </c>
      <c r="C10" s="5" t="str">
        <f>IF(Инвентаризация!C10="","",Инвентаризация!D10)</f>
        <v>Колодки тормозные задние  барабанные, комплект</v>
      </c>
      <c r="D10" s="11">
        <f>IF(Инвентаризация!C10="","",Инвентаризация!E10)</f>
        <v>1</v>
      </c>
      <c r="E10" s="12">
        <f>IF(Инвентаризация!C10="","",Инвентаризация!F10)</f>
        <v>0</v>
      </c>
      <c r="F10" s="12">
        <f>IF(Инвентаризация!C10="","",Инвентаризация!G10)</f>
        <v>16000</v>
      </c>
      <c r="G10" s="12">
        <f t="shared" si="0"/>
        <v>16000</v>
      </c>
      <c r="H10" s="13">
        <f t="shared" si="1"/>
        <v>1</v>
      </c>
      <c r="I10" s="12">
        <f t="shared" si="2"/>
        <v>0</v>
      </c>
      <c r="J10" s="12">
        <f t="shared" si="3"/>
        <v>16000</v>
      </c>
      <c r="K10" s="12">
        <f t="shared" si="4"/>
        <v>16000</v>
      </c>
      <c r="L10" s="10" t="str">
        <f>IF(Инвентаризация!C10="","",Инвентаризация!M10)</f>
        <v>Да</v>
      </c>
      <c r="M10" s="10">
        <f>IF(Инвентаризация!C10="","",Инвентаризация!N10)</f>
        <v>173035824</v>
      </c>
      <c r="N10" s="10">
        <f>IF(Инвентаризация!C10="","",Инвентаризация!O10)</f>
        <v>0</v>
      </c>
      <c r="O10" s="10">
        <f>IF(Инвентаризация!C10="","",Инвентаризация!P10)</f>
        <v>0</v>
      </c>
      <c r="P10" s="8">
        <f>IF(Инвентаризация!C10="","",Инвентаризация!Q10)</f>
        <v>46239</v>
      </c>
    </row>
    <row r="11" spans="1:16" ht="42.75">
      <c r="A11" s="10" t="str">
        <f>IF(Инвентаризация!C11="","",Инвентаризация!B11)</f>
        <v>ABS</v>
      </c>
      <c r="B11" s="10">
        <f>IF(Инвентаризация!C11="","",Инвентаризация!C11)</f>
        <v>9116</v>
      </c>
      <c r="C11" s="5" t="str">
        <f>IF(Инвентаризация!C11="","",Инвентаризация!D11)</f>
        <v xml:space="preserve">Колодки тормозные задние  барабанные ручного тормоза, комплект, </v>
      </c>
      <c r="D11" s="11">
        <f>IF(Инвентаризация!C11="","",Инвентаризация!E11)</f>
        <v>1</v>
      </c>
      <c r="E11" s="12">
        <f>IF(Инвентаризация!C11="","",Инвентаризация!F11)</f>
        <v>0</v>
      </c>
      <c r="F11" s="12">
        <f>IF(Инвентаризация!C11="","",Инвентаризация!G11)</f>
        <v>6800</v>
      </c>
      <c r="G11" s="12">
        <f t="shared" si="0"/>
        <v>6800</v>
      </c>
      <c r="H11" s="13">
        <f t="shared" si="1"/>
        <v>1</v>
      </c>
      <c r="I11" s="12">
        <f t="shared" si="2"/>
        <v>0</v>
      </c>
      <c r="J11" s="12">
        <f t="shared" si="3"/>
        <v>6800</v>
      </c>
      <c r="K11" s="12">
        <f t="shared" si="4"/>
        <v>6800</v>
      </c>
      <c r="L11" s="10" t="str">
        <f>IF(Инвентаризация!C11="","",Инвентаризация!M11)</f>
        <v>Да</v>
      </c>
      <c r="M11" s="10">
        <f>IF(Инвентаризация!C11="","",Инвентаризация!N11)</f>
        <v>173040235</v>
      </c>
      <c r="N11" s="10">
        <f>IF(Инвентаризация!C11="","",Инвентаризация!O11)</f>
        <v>0</v>
      </c>
      <c r="O11" s="10">
        <f>IF(Инвентаризация!C11="","",Инвентаризация!P11)</f>
        <v>0</v>
      </c>
      <c r="P11" s="8">
        <f>IF(Инвентаризация!C11="","",Инвентаризация!Q11)</f>
        <v>46239</v>
      </c>
    </row>
    <row r="12" spans="1:16" ht="28.5">
      <c r="A12" s="10" t="str">
        <f>IF(Инвентаризация!C12="","",Инвентаризация!B12)</f>
        <v>PATRON</v>
      </c>
      <c r="B12" s="10" t="str">
        <f>IF(Инвентаризация!C12="","",Инвентаризация!C12)</f>
        <v>PSP284</v>
      </c>
      <c r="C12" s="5" t="str">
        <f>IF(Инвентаризация!C12="","",Инвентаризация!D12)</f>
        <v>Колодки тормозные задние  барабанные, комплект</v>
      </c>
      <c r="D12" s="11">
        <f>IF(Инвентаризация!C12="","",Инвентаризация!E12)</f>
        <v>1</v>
      </c>
      <c r="E12" s="12">
        <f>IF(Инвентаризация!C12="","",Инвентаризация!F12)</f>
        <v>0</v>
      </c>
      <c r="F12" s="12">
        <f>IF(Инвентаризация!C12="","",Инвентаризация!G12)</f>
        <v>9000</v>
      </c>
      <c r="G12" s="12">
        <f t="shared" si="0"/>
        <v>9000</v>
      </c>
      <c r="H12" s="13">
        <f t="shared" si="1"/>
        <v>1</v>
      </c>
      <c r="I12" s="12">
        <f t="shared" si="2"/>
        <v>0</v>
      </c>
      <c r="J12" s="12">
        <f t="shared" si="3"/>
        <v>9000</v>
      </c>
      <c r="K12" s="12">
        <f t="shared" si="4"/>
        <v>9000</v>
      </c>
      <c r="L12" s="10" t="str">
        <f>IF(Инвентаризация!C12="","",Инвентаризация!M12)</f>
        <v>Да</v>
      </c>
      <c r="M12" s="10">
        <f>IF(Инвентаризация!C12="","",Инвентаризация!N12)</f>
        <v>173088211</v>
      </c>
      <c r="N12" s="10">
        <f>IF(Инвентаризация!C12="","",Инвентаризация!O12)</f>
        <v>0</v>
      </c>
      <c r="O12" s="10">
        <f>IF(Инвентаризация!C12="","",Инвентаризация!P12)</f>
        <v>0</v>
      </c>
      <c r="P12" s="8">
        <f>IF(Инвентаризация!C12="","",Инвентаризация!Q12)</f>
        <v>46240</v>
      </c>
    </row>
    <row r="13" spans="1:16">
      <c r="A13" s="10" t="str">
        <f>IF(Инвентаризация!C13="","",Инвентаризация!B13)</f>
        <v>AKEBONO</v>
      </c>
      <c r="B13" s="10" t="str">
        <f>IF(Инвентаризация!C13="","",Инвентаризация!C13)</f>
        <v>AN691WK</v>
      </c>
      <c r="C13" s="5" t="str">
        <f>IF(Инвентаризация!C13="","",Инвентаризация!D13)</f>
        <v>Колодки тормозные передние</v>
      </c>
      <c r="D13" s="11">
        <f>IF(Инвентаризация!C13="","",Инвентаризация!E13)</f>
        <v>1</v>
      </c>
      <c r="E13" s="12">
        <f>IF(Инвентаризация!C13="","",Инвентаризация!F13)</f>
        <v>0</v>
      </c>
      <c r="F13" s="12">
        <f>IF(Инвентаризация!C13="","",Инвентаризация!G13)</f>
        <v>9000</v>
      </c>
      <c r="G13" s="12">
        <f t="shared" si="0"/>
        <v>9000</v>
      </c>
      <c r="H13" s="13">
        <f t="shared" si="1"/>
        <v>1</v>
      </c>
      <c r="I13" s="12">
        <f t="shared" si="2"/>
        <v>0</v>
      </c>
      <c r="J13" s="12">
        <f t="shared" si="3"/>
        <v>9000</v>
      </c>
      <c r="K13" s="12">
        <f t="shared" si="4"/>
        <v>9000</v>
      </c>
      <c r="L13" s="10" t="str">
        <f>IF(Инвентаризация!C13="","",Инвентаризация!M13)</f>
        <v>Да</v>
      </c>
      <c r="M13" s="10">
        <f>IF(Инвентаризация!C13="","",Инвентаризация!N13)</f>
        <v>173135153</v>
      </c>
      <c r="N13" s="10">
        <f>IF(Инвентаризация!C13="","",Инвентаризация!O13)</f>
        <v>0</v>
      </c>
      <c r="O13" s="10">
        <f>IF(Инвентаризация!C13="","",Инвентаризация!P13)</f>
        <v>0</v>
      </c>
      <c r="P13" s="8">
        <f>IF(Инвентаризация!C13="","",Инвентаризация!Q13)</f>
        <v>46241</v>
      </c>
    </row>
    <row r="14" spans="1:16">
      <c r="A14" s="10" t="str">
        <f>IF(Инвентаризация!C14="","",Инвентаризация!B14)</f>
        <v>TEXTAR</v>
      </c>
      <c r="B14" s="10">
        <f>IF(Инвентаризация!C14="","",Инвентаризация!C14)</f>
        <v>2176603</v>
      </c>
      <c r="C14" s="5" t="str">
        <f>IF(Инвентаризация!C14="","",Инвентаризация!D14)</f>
        <v>Колодки тормозные задние</v>
      </c>
      <c r="D14" s="11">
        <f>IF(Инвентаризация!C14="","",Инвентаризация!E14)</f>
        <v>1</v>
      </c>
      <c r="E14" s="12">
        <f>IF(Инвентаризация!C14="","",Инвентаризация!F14)</f>
        <v>0</v>
      </c>
      <c r="F14" s="12">
        <f>IF(Инвентаризация!C14="","",Инвентаризация!G14)</f>
        <v>7000</v>
      </c>
      <c r="G14" s="12">
        <f t="shared" si="0"/>
        <v>7000</v>
      </c>
      <c r="H14" s="13">
        <f t="shared" si="1"/>
        <v>1</v>
      </c>
      <c r="I14" s="12">
        <f t="shared" si="2"/>
        <v>0</v>
      </c>
      <c r="J14" s="12">
        <f t="shared" si="3"/>
        <v>7000</v>
      </c>
      <c r="K14" s="12">
        <f t="shared" si="4"/>
        <v>7000</v>
      </c>
      <c r="L14" s="10" t="str">
        <f>IF(Инвентаризация!C14="","",Инвентаризация!M14)</f>
        <v>Да</v>
      </c>
      <c r="M14" s="10">
        <f>IF(Инвентаризация!C14="","",Инвентаризация!N14)</f>
        <v>173197265</v>
      </c>
      <c r="N14" s="10">
        <f>IF(Инвентаризация!C14="","",Инвентаризация!O14)</f>
        <v>0</v>
      </c>
      <c r="O14" s="10">
        <f>IF(Инвентаризация!C14="","",Инвентаризация!P14)</f>
        <v>0</v>
      </c>
      <c r="P14" s="8">
        <f>IF(Инвентаризация!C14="","",Инвентаризация!Q14)</f>
        <v>46242</v>
      </c>
    </row>
    <row r="15" spans="1:16">
      <c r="A15" s="10" t="str">
        <f>IF(Инвентаризация!C15="","",Инвентаризация!B15)</f>
        <v>ROADHOUSE</v>
      </c>
      <c r="B15" s="10">
        <f>IF(Инвентаризация!C15="","",Инвентаризация!C15)</f>
        <v>228220</v>
      </c>
      <c r="C15" s="5" t="str">
        <f>IF(Инвентаризация!C15="","",Инвентаризация!D15)</f>
        <v>Колодки тормозные задние</v>
      </c>
      <c r="D15" s="11">
        <f>IF(Инвентаризация!C15="","",Инвентаризация!E15)</f>
        <v>1</v>
      </c>
      <c r="E15" s="12">
        <f>IF(Инвентаризация!C15="","",Инвентаризация!F15)</f>
        <v>0</v>
      </c>
      <c r="F15" s="12">
        <f>IF(Инвентаризация!C15="","",Инвентаризация!G15)</f>
        <v>7000</v>
      </c>
      <c r="G15" s="12">
        <f t="shared" si="0"/>
        <v>7000</v>
      </c>
      <c r="H15" s="13">
        <f t="shared" si="1"/>
        <v>1</v>
      </c>
      <c r="I15" s="12">
        <f t="shared" si="2"/>
        <v>0</v>
      </c>
      <c r="J15" s="12">
        <f t="shared" si="3"/>
        <v>7000</v>
      </c>
      <c r="K15" s="12">
        <f t="shared" si="4"/>
        <v>7000</v>
      </c>
      <c r="L15" s="10" t="str">
        <f>IF(Инвентаризация!C15="","",Инвентаризация!M15)</f>
        <v>Да</v>
      </c>
      <c r="M15" s="10">
        <f>IF(Инвентаризация!C15="","",Инвентаризация!N15)</f>
        <v>173199833</v>
      </c>
      <c r="N15" s="10">
        <f>IF(Инвентаризация!C15="","",Инвентаризация!O15)</f>
        <v>0</v>
      </c>
      <c r="O15" s="10">
        <f>IF(Инвентаризация!C15="","",Инвентаризация!P15)</f>
        <v>0</v>
      </c>
      <c r="P15" s="8">
        <f>IF(Инвентаризация!C15="","",Инвентаризация!Q15)</f>
        <v>46242</v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14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15</v>
      </c>
      <c r="D5" t="s">
        <v>34</v>
      </c>
      <c r="E5">
        <f>COUNTIFS(Инвентаризация!E2:E500,"&gt;=1",Инвентаризация!E2:E500,"&lt;=2")</f>
        <v>14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151800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151800</v>
      </c>
    </row>
    <row r="9" spans="1:5">
      <c r="A9" t="s">
        <v>40</v>
      </c>
      <c r="B9">
        <f>COUNTIF(Инвентаризация!M2:M500,"Да")</f>
        <v>14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14</v>
      </c>
    </row>
    <row r="13" spans="1:5">
      <c r="A13" t="s">
        <v>8</v>
      </c>
      <c r="B13">
        <f>COUNTIF(Инвентаризация!I2:I500,"Да")</f>
        <v>14</v>
      </c>
    </row>
    <row r="14" spans="1:5">
      <c r="A14" t="s">
        <v>9</v>
      </c>
      <c r="B14">
        <f>COUNTIF(Инвентаризация!J2:J500,"Да")</f>
        <v>14</v>
      </c>
    </row>
    <row r="15" spans="1:5">
      <c r="A15" t="s">
        <v>10</v>
      </c>
      <c r="B15">
        <f>COUNTIF(Инвентаризация!K2:K500,"Да")</f>
        <v>14</v>
      </c>
    </row>
    <row r="16" spans="1:5">
      <c r="A16" t="s">
        <v>11</v>
      </c>
      <c r="B16">
        <f>COUNTIF(Инвентаризация!L2:L500,"Да")</f>
        <v>14</v>
      </c>
    </row>
    <row r="17" spans="1:2">
      <c r="A17" t="s">
        <v>12</v>
      </c>
      <c r="B17">
        <f>COUNTIF(Инвентаризация!M2:M500,"Да")</f>
        <v>14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2026-08-08T07:08:36Z</dcterms:modified>
</cp:coreProperties>
</file>