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J8" i="2"/>
  <c r="I8" i="2"/>
  <c r="H8" i="2"/>
  <c r="G8" i="2"/>
  <c r="K8" i="2" s="1"/>
  <c r="F8" i="2"/>
  <c r="E8" i="2"/>
  <c r="D8" i="2"/>
  <c r="C8" i="2"/>
  <c r="B8" i="2"/>
  <c r="A8" i="2"/>
  <c r="P7" i="2"/>
  <c r="O7" i="2"/>
  <c r="N7" i="2"/>
  <c r="M7" i="2"/>
  <c r="L7" i="2"/>
  <c r="F7" i="2"/>
  <c r="E7" i="2"/>
  <c r="G7" i="2" s="1"/>
  <c r="H7" i="2" s="1"/>
  <c r="D7" i="2"/>
  <c r="J7" i="2" s="1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K6" i="2" l="1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K3" i="2" l="1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<sst xmlns="http://schemas.openxmlformats.org/spreadsheetml/2006/main" count="106" uniqueCount="54">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</sst>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D29" sqref="D29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/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/>
      <c r="B7" s="10"/>
      <c r="C7" s="10"/>
      <c r="D7" s="5"/>
      <c r="E7" s="6"/>
      <c r="F7" s="7"/>
      <c r="G7" s="7"/>
      <c r="H7" s="10"/>
      <c r="I7" s="10"/>
      <c r="J7" s="10"/>
      <c r="K7" s="10"/>
      <c r="L7" s="10"/>
      <c r="M7" s="10"/>
      <c r="N7" s="10"/>
      <c r="O7" s="10"/>
      <c r="P7" s="10"/>
      <c r="Q7" s="8"/>
      <c r="R7" s="10"/>
    </row>
    <row r="8" spans="1:18">
      <c r="A8" s="8"/>
      <c r="B8" s="10"/>
      <c r="C8" s="10"/>
      <c r="D8" s="5"/>
      <c r="E8" s="6"/>
      <c r="F8" s="7"/>
      <c r="G8" s="7"/>
      <c r="H8" s="10"/>
      <c r="I8" s="10"/>
      <c r="J8" s="10"/>
      <c r="K8" s="10"/>
      <c r="L8" s="10"/>
      <c r="M8" s="10"/>
      <c r="N8" s="10"/>
      <c r="O8" s="10"/>
      <c r="P8" s="10"/>
      <c r="Q8" s="8"/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>
      <c r="A7" s="10" t="str">
        <f>IF(Инвентаризация!C7="","",Инвентаризация!B7)</f>
        <v/>
      </c>
      <c r="B7" s="10" t="str">
        <f>IF(Инвентаризация!C7="","",Инвентаризация!C7)</f>
        <v/>
      </c>
      <c r="C7" s="5" t="str">
        <f>IF(Инвентаризация!C7="","",Инвентаризация!D7)</f>
        <v/>
      </c>
      <c r="D7" s="11" t="str">
        <f>IF(Инвентаризация!C7="","",Инвентаризация!E7)</f>
        <v/>
      </c>
      <c r="E7" s="12" t="str">
        <f>IF(Инвентаризация!C7="","",Инвентаризация!F7)</f>
        <v/>
      </c>
      <c r="F7" s="12" t="str">
        <f>IF(Инвентаризация!C7="","",Инвентаризация!G7)</f>
        <v/>
      </c>
      <c r="G7" s="12" t="str">
        <f t="shared" si="0"/>
        <v/>
      </c>
      <c r="H7" s="13" t="str">
        <f t="shared" si="1"/>
        <v/>
      </c>
      <c r="I7" s="12" t="str">
        <f t="shared" si="2"/>
        <v/>
      </c>
      <c r="J7" s="12" t="str">
        <f t="shared" si="3"/>
        <v/>
      </c>
      <c r="K7" s="12" t="str">
        <f t="shared" si="4"/>
        <v/>
      </c>
      <c r="L7" s="10" t="str">
        <f>IF(Инвентаризация!C7="","",Инвентаризация!M7)</f>
        <v/>
      </c>
      <c r="M7" s="10" t="str">
        <f>IF(Инвентаризация!C7="","",Инвентаризация!N7)</f>
        <v/>
      </c>
      <c r="N7" s="10" t="str">
        <f>IF(Инвентаризация!C7="","",Инвентаризация!O7)</f>
        <v/>
      </c>
      <c r="O7" s="10" t="str">
        <f>IF(Инвентаризация!C7="","",Инвентаризация!P7)</f>
        <v/>
      </c>
      <c r="P7" s="8" t="str">
        <f>IF(Инвентаризация!C7="","",Инвентаризация!Q7)</f>
        <v/>
      </c>
    </row>
    <row r="8" spans="1:16">
      <c r="A8" s="10" t="str">
        <f>IF(Инвентаризация!C8="","",Инвентаризация!B8)</f>
        <v/>
      </c>
      <c r="B8" s="10" t="str">
        <f>IF(Инвентаризация!C8="","",Инвентаризация!C8)</f>
        <v/>
      </c>
      <c r="C8" s="5" t="str">
        <f>IF(Инвентаризация!C8="","",Инвентаризация!D8)</f>
        <v/>
      </c>
      <c r="D8" s="11" t="str">
        <f>IF(Инвентаризация!C8="","",Инвентаризация!E8)</f>
        <v/>
      </c>
      <c r="E8" s="12" t="str">
        <f>IF(Инвентаризация!C8="","",Инвентаризация!F8)</f>
        <v/>
      </c>
      <c r="F8" s="12" t="str">
        <f>IF(Инвентаризация!C8="","",Инвентаризация!G8)</f>
        <v/>
      </c>
      <c r="G8" s="12" t="str">
        <f t="shared" si="0"/>
        <v/>
      </c>
      <c r="H8" s="13" t="str">
        <f t="shared" si="1"/>
        <v/>
      </c>
      <c r="I8" s="12" t="str">
        <f t="shared" si="2"/>
        <v/>
      </c>
      <c r="J8" s="12" t="str">
        <f t="shared" si="3"/>
        <v/>
      </c>
      <c r="K8" s="12" t="str">
        <f t="shared" si="4"/>
        <v/>
      </c>
      <c r="L8" s="10" t="str">
        <f>IF(Инвентаризация!C8="","",Инвентаризация!M8)</f>
        <v/>
      </c>
      <c r="M8" s="10" t="str">
        <f>IF(Инвентаризация!C8="","",Инвентаризация!N8)</f>
        <v/>
      </c>
      <c r="N8" s="10" t="str">
        <f>IF(Инвентаризация!C8="","",Инвентаризация!O8)</f>
        <v/>
      </c>
      <c r="O8" s="10" t="str">
        <f>IF(Инвентаризация!C8="","",Инвентаризация!P8)</f>
        <v/>
      </c>
      <c r="P8" s="8" t="str">
        <f>IF(Инвентаризация!C8="","",Инвентаризация!Q8)</f>
        <v/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5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6</v>
      </c>
      <c r="D5" t="s">
        <v>34</v>
      </c>
      <c r="E5">
        <f>COUNTIFS(Инвентаризация!E2:E500,"&gt;=1",Инвентаризация!E2:E500,"&lt;=2")</f>
        <v>5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69000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69000</v>
      </c>
    </row>
    <row r="9" spans="1:5">
      <c r="A9" t="s">
        <v>40</v>
      </c>
      <c r="B9">
        <f>COUNTIF(Инвентаризация!M2:M500,"Да")</f>
        <v>5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5</v>
      </c>
    </row>
    <row r="13" spans="1:5">
      <c r="A13" t="s">
        <v>8</v>
      </c>
      <c r="B13">
        <f>COUNTIF(Инвентаризация!I2:I500,"Да")</f>
        <v>5</v>
      </c>
    </row>
    <row r="14" spans="1:5">
      <c r="A14" t="s">
        <v>9</v>
      </c>
      <c r="B14">
        <f>COUNTIF(Инвентаризация!J2:J500,"Да")</f>
        <v>5</v>
      </c>
    </row>
    <row r="15" spans="1:5">
      <c r="A15" t="s">
        <v>10</v>
      </c>
      <c r="B15">
        <f>COUNTIF(Инвентаризация!K2:K500,"Да")</f>
        <v>5</v>
      </c>
    </row>
    <row r="16" spans="1:5">
      <c r="A16" t="s">
        <v>11</v>
      </c>
      <c r="B16">
        <f>COUNTIF(Инвентаризация!L2:L500,"Да")</f>
        <v>4</v>
      </c>
    </row>
    <row r="17" spans="1:2">
      <c r="A17" t="s">
        <v>12</v>
      </c>
      <c r="B17">
        <f>COUNTIF(Инвентаризация!M2:M500,"Да")</f>
        <v>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2026-08-03T08:41:52Z</dcterms:modified>
</cp:coreProperties>
</file>