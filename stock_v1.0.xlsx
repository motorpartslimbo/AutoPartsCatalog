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F16" i="2"/>
  <c r="E16" i="2"/>
  <c r="D16" i="2"/>
  <c r="I16" i="2" s="1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F14" i="2"/>
  <c r="E14" i="2"/>
  <c r="D14" i="2"/>
  <c r="J14" i="2" s="1"/>
  <c r="C14" i="2"/>
  <c r="B14" i="2"/>
  <c r="A14" i="2"/>
  <c r="P13" i="2"/>
  <c r="O13" i="2"/>
  <c r="N13" i="2"/>
  <c r="M13" i="2"/>
  <c r="L13" i="2"/>
  <c r="F13" i="2"/>
  <c r="E13" i="2"/>
  <c r="D13" i="2"/>
  <c r="C13" i="2"/>
  <c r="B13" i="2"/>
  <c r="A13" i="2"/>
  <c r="P12" i="2"/>
  <c r="O12" i="2"/>
  <c r="N12" i="2"/>
  <c r="M12" i="2"/>
  <c r="L12" i="2"/>
  <c r="J12" i="2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D11" i="2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G16" i="2" l="1"/>
  <c r="K16" i="2" s="1"/>
  <c r="J16" i="2"/>
  <c r="I14" i="2"/>
  <c r="G14" i="2"/>
  <c r="K14" i="2" s="1"/>
  <c r="J13" i="2"/>
  <c r="G13" i="2"/>
  <c r="H13" i="2" s="1"/>
  <c r="I12" i="2"/>
  <c r="G12" i="2"/>
  <c r="K12" i="2" s="1"/>
  <c r="J11" i="2"/>
  <c r="G11" i="2"/>
  <c r="H11" i="2" s="1"/>
  <c r="J10" i="2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6" i="2" l="1"/>
  <c r="H12" i="2"/>
  <c r="H10" i="2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<sst xmlns="http://schemas.openxmlformats.org/spreadsheetml/2006/main" count="195" uniqueCount="70">
  <si>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</si>
  <si>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</si>
  <si>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</si>
  <si>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</si>
  <si>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</si>
  <si>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</si>
  <si>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</si>
  <si>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</si>
  <si>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</si>
  <si>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</si>
  <si>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</si>
  <si>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</si>
  <si>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</si>
  <si>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</si>
  <si>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</si>
  <si>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</si>
  <si>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</si>
  <si>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</si>
  <si>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</si>
  <si>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</si>
  <si>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</si>
  <si>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</si>
  <si>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</si>
  <si>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</si>
  <si>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</si>
  <si>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</si>
  <si>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</si>
  <si>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</si>
  <si>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</si>
  <si>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</si>
  <si>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</si>
  <si>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</si>
  <si>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</si>
  <si>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</si>
  <si>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</si>
  <si>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</si>
  <si>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</si>
  <si>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</si>
  <si>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</si>
  <si>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</si>
  <si>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</si>
  <si>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</si>
  <si>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</si>
  <si>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</si>
  <si>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</si>
  <si>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</si>
  <si>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</si>
  <si>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</si>
  <si>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</si>
  <si>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</si>
  <si>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</si>
  <si>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</si>
  <si>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</si>
  <si>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</si>
  <si>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</si>
  <si>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</si>
  <si>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</si>
  <si>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</si>
  <si>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</si>
  <si>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</si>
  <si>
    <t>ABS</t>
  </si>
  <si>
    <t xml:space="preserve">Колодки тормозные задние  барабанные ручного тормоза, комплект, </t>
  </si>
  <si>
    <t>PATRON</t>
  </si>
  <si>
    <t>PSP284</t>
  </si>
  <si>
    <t>AKEBONO</t>
  </si>
  <si>
    <t>AN691WK</t>
  </si>
  <si>
    <t>TEXTAR</t>
  </si>
  <si>
    <t>ROADHOUSE</t>
  </si>
  <si>
    <t>REMSA</t>
  </si>
  <si>
    <t>014132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</si>
</sst>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  <xf numFmtId="49" fontId="1" fillId="2" borderId="2" xfId="1" applyNumberFormat="1" applyFont="1" applyFill="1" applyBorder="1" applyAlignment="1">
      <alignment horizontal="center" vertical="center" wrapText="1"/>
    </xf>
    <xf numFmtId="49" fontId="0" fillId="0" borderId="0" xfId="1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topLeftCell="F1" workbookViewId="0">
      <selection activeCell="P28" sqref="P28"/>
    </sheetView>
  </sheetViews>
  <sheetFormatPr defaultRowHeight="14.25"/>
  <cols>
    <col min="1" max="1" width="15" style="9" customWidth="1"/>
    <col min="2" max="2" width="16.25" style="9" customWidth="1"/>
    <col min="3" max="3" width="16" style="17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1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6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6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6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6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6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6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6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6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46239</v>
      </c>
      <c r="B10" s="10" t="s">
        <v>58</v>
      </c>
      <c r="C10" s="16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 ht="42.75">
      <c r="A11" s="8">
        <v>46239</v>
      </c>
      <c r="B11" s="10" t="s">
        <v>60</v>
      </c>
      <c r="C11" s="16">
        <v>9116</v>
      </c>
      <c r="D11" s="5" t="s">
        <v>61</v>
      </c>
      <c r="E11" s="6">
        <v>1</v>
      </c>
      <c r="F11" s="7">
        <v>0</v>
      </c>
      <c r="G11" s="7">
        <v>6800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0">
        <v>173040235</v>
      </c>
      <c r="O11" s="10"/>
      <c r="P11" s="10"/>
      <c r="Q11" s="8">
        <v>46239</v>
      </c>
      <c r="R11" s="10"/>
    </row>
    <row r="12" spans="1:18" ht="28.5">
      <c r="A12" s="8">
        <v>46240</v>
      </c>
      <c r="B12" s="10" t="s">
        <v>62</v>
      </c>
      <c r="C12" s="16" t="s">
        <v>63</v>
      </c>
      <c r="D12" s="5" t="s">
        <v>57</v>
      </c>
      <c r="E12" s="6">
        <v>1</v>
      </c>
      <c r="F12" s="7">
        <v>0</v>
      </c>
      <c r="G12" s="7">
        <v>9000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0">
        <v>173088211</v>
      </c>
      <c r="O12" s="10"/>
      <c r="P12" s="10"/>
      <c r="Q12" s="8">
        <v>46240</v>
      </c>
      <c r="R12" s="10"/>
    </row>
    <row r="13" spans="1:18">
      <c r="A13" s="8">
        <v>46241</v>
      </c>
      <c r="B13" s="10" t="s">
        <v>64</v>
      </c>
      <c r="C13" s="16" t="s">
        <v>65</v>
      </c>
      <c r="D13" s="5" t="s">
        <v>51</v>
      </c>
      <c r="E13" s="6">
        <v>1</v>
      </c>
      <c r="F13" s="7">
        <v>0</v>
      </c>
      <c r="G13" s="7">
        <v>9000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0">
        <v>173135153</v>
      </c>
      <c r="O13" s="10"/>
      <c r="P13" s="10"/>
      <c r="Q13" s="8">
        <v>46241</v>
      </c>
      <c r="R13" s="10"/>
    </row>
    <row r="14" spans="1:18">
      <c r="A14" s="8">
        <v>46241</v>
      </c>
      <c r="B14" s="10" t="s">
        <v>66</v>
      </c>
      <c r="C14" s="16">
        <v>2176603</v>
      </c>
      <c r="D14" s="5" t="s">
        <v>20</v>
      </c>
      <c r="E14" s="6">
        <v>1</v>
      </c>
      <c r="F14" s="7">
        <v>0</v>
      </c>
      <c r="G14" s="7">
        <v>7000</v>
      </c>
      <c r="H14" s="10" t="s">
        <v>21</v>
      </c>
      <c r="I14" s="10" t="s">
        <v>21</v>
      </c>
      <c r="J14" s="10" t="s">
        <v>21</v>
      </c>
      <c r="K14" s="10" t="s">
        <v>21</v>
      </c>
      <c r="L14" s="10" t="s">
        <v>21</v>
      </c>
      <c r="M14" s="10" t="s">
        <v>21</v>
      </c>
      <c r="N14" s="10">
        <v>173197265</v>
      </c>
      <c r="O14" s="10"/>
      <c r="P14" s="10"/>
      <c r="Q14" s="8">
        <v>46242</v>
      </c>
      <c r="R14" s="10"/>
    </row>
    <row r="15" spans="1:18">
      <c r="A15" s="8">
        <v>46242</v>
      </c>
      <c r="B15" s="10" t="s">
        <v>67</v>
      </c>
      <c r="C15" s="16">
        <v>228220</v>
      </c>
      <c r="D15" s="5" t="s">
        <v>20</v>
      </c>
      <c r="E15" s="6">
        <v>1</v>
      </c>
      <c r="F15" s="7">
        <v>0</v>
      </c>
      <c r="G15" s="7">
        <v>7000</v>
      </c>
      <c r="H15" s="10" t="s">
        <v>21</v>
      </c>
      <c r="I15" s="10" t="s">
        <v>21</v>
      </c>
      <c r="J15" s="10" t="s">
        <v>21</v>
      </c>
      <c r="K15" s="10" t="s">
        <v>21</v>
      </c>
      <c r="L15" s="10" t="s">
        <v>21</v>
      </c>
      <c r="M15" s="10" t="s">
        <v>21</v>
      </c>
      <c r="N15" s="10">
        <v>173199833</v>
      </c>
      <c r="O15" s="10"/>
      <c r="P15" s="10"/>
      <c r="Q15" s="8">
        <v>46242</v>
      </c>
      <c r="R15" s="10"/>
    </row>
    <row r="16" spans="1:18">
      <c r="A16" s="8">
        <v>46242</v>
      </c>
      <c r="B16" s="10" t="s">
        <v>68</v>
      </c>
      <c r="C16" s="16" t="s">
        <v>69</v>
      </c>
      <c r="D16" s="5" t="s">
        <v>51</v>
      </c>
      <c r="E16" s="6">
        <v>1</v>
      </c>
      <c r="F16" s="7">
        <v>0</v>
      </c>
      <c r="G16" s="7">
        <v>6000</v>
      </c>
      <c r="H16" s="10" t="s">
        <v>21</v>
      </c>
      <c r="I16" s="10" t="s">
        <v>21</v>
      </c>
      <c r="J16" s="10" t="s">
        <v>21</v>
      </c>
      <c r="K16" s="10" t="s">
        <v>21</v>
      </c>
      <c r="L16" s="10" t="s">
        <v>21</v>
      </c>
      <c r="M16" s="10" t="s">
        <v>21</v>
      </c>
      <c r="N16" s="10"/>
      <c r="O16" s="10"/>
      <c r="P16" s="10"/>
      <c r="Q16" s="8">
        <v>46242</v>
      </c>
      <c r="R16" s="10"/>
    </row>
    <row r="17" spans="1:18">
      <c r="A17" s="8"/>
      <c r="B17" s="10"/>
      <c r="C17" s="16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6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6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6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6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6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6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6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6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6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6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6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6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6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6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6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6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6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6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6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6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6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6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6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6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6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6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6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6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6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6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6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6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6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6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6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6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6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6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6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6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6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6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6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6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6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6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6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6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6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6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6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6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6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6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6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6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6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6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6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6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6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6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6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6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6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6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6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6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6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6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6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6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6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6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6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6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6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6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6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6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6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6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6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6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6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6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6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6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6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6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6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6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6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6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6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6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6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6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6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6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6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6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6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6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6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6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6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6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6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6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6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6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6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6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6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6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6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6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6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6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6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6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6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6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6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6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6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6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6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6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6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6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6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6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6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6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6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6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6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6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6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6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6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6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6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6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6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6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6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6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6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6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6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6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6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6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6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6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6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6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6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6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6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6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6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6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6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6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6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6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6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6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6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6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6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6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6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6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6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6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6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6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6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6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6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6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6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6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6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6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6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6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6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6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6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6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6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6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6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6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6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6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6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6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6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6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6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6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6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6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6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6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6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6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6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6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6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6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6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6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6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6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6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6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6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6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6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6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6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6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6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6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6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6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6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6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6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6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6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6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6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6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6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6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6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6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6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6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6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6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6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6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6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6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6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6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6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6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6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6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6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6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6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6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6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6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6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6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6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6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6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6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6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6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6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6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6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6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6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6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6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6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6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6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6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6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6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6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6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6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6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6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6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6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6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6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6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6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6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6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6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6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6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6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6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6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6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6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6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6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6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6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6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6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6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6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6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6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6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6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6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6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6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6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6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6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6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6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6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6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6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6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6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6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6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6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6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6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6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6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6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6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6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6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6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6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6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6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6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6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6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6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6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6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6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6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6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6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6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6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6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6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6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6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6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6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6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6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6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6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6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6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6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6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6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6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6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6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6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6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6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6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6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6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6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6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6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6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6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6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6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6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6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6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6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6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6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6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6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6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6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6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6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6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6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6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6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6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6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6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6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6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6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6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6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6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6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6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6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6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6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6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6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6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6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6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6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6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6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6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6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6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6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6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6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6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6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6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6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6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6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6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6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6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6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6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6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6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6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6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6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6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6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6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6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6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6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6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6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6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6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6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6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6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6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6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6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6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6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6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6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6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6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6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6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6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6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6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6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6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6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6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6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 ht="28.5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 ht="42.75">
      <c r="A11" s="10" t="str">
        <f>IF(Инвентаризация!C11="","",Инвентаризация!B11)</f>
        <v>ABS</v>
      </c>
      <c r="B11" s="10">
        <f>IF(Инвентаризация!C11="","",Инвентаризация!C11)</f>
        <v>9116</v>
      </c>
      <c r="C11" s="5" t="str">
        <f>IF(Инвентаризация!C11="","",Инвентаризация!D11)</f>
        <v xml:space="preserve">Колодки тормозные задние  барабанные ручного тормоза, комплект, </v>
      </c>
      <c r="D11" s="11">
        <f>IF(Инвентаризация!C11="","",Инвентаризация!E11)</f>
        <v>1</v>
      </c>
      <c r="E11" s="12">
        <f>IF(Инвентаризация!C11="","",Инвентаризация!F11)</f>
        <v>0</v>
      </c>
      <c r="F11" s="12">
        <f>IF(Инвентаризация!C11="","",Инвентаризация!G11)</f>
        <v>6800</v>
      </c>
      <c r="G11" s="12">
        <f t="shared" si="0"/>
        <v>6800</v>
      </c>
      <c r="H11" s="13">
        <f t="shared" si="1"/>
        <v>1</v>
      </c>
      <c r="I11" s="12">
        <f t="shared" si="2"/>
        <v>0</v>
      </c>
      <c r="J11" s="12">
        <f t="shared" si="3"/>
        <v>6800</v>
      </c>
      <c r="K11" s="12">
        <f t="shared" si="4"/>
        <v>6800</v>
      </c>
      <c r="L11" s="10" t="str">
        <f>IF(Инвентаризация!C11="","",Инвентаризация!M11)</f>
        <v>Да</v>
      </c>
      <c r="M11" s="10">
        <f>IF(Инвентаризация!C11="","",Инвентаризация!N11)</f>
        <v>173040235</v>
      </c>
      <c r="N11" s="10">
        <f>IF(Инвентаризация!C11="","",Инвентаризация!O11)</f>
        <v>0</v>
      </c>
      <c r="O11" s="10">
        <f>IF(Инвентаризация!C11="","",Инвентаризация!P11)</f>
        <v>0</v>
      </c>
      <c r="P11" s="8">
        <f>IF(Инвентаризация!C11="","",Инвентаризация!Q11)</f>
        <v>46239</v>
      </c>
    </row>
    <row r="12" spans="1:16" ht="28.5">
      <c r="A12" s="10" t="str">
        <f>IF(Инвентаризация!C12="","",Инвентаризация!B12)</f>
        <v>PATRON</v>
      </c>
      <c r="B12" s="10" t="str">
        <f>IF(Инвентаризация!C12="","",Инвентаризация!C12)</f>
        <v>PSP284</v>
      </c>
      <c r="C12" s="5" t="str">
        <f>IF(Инвентаризация!C12="","",Инвентаризация!D12)</f>
        <v>Колодки тормозные задние  барабанные, комплект</v>
      </c>
      <c r="D12" s="11">
        <f>IF(Инвентаризация!C12="","",Инвентаризация!E12)</f>
        <v>1</v>
      </c>
      <c r="E12" s="12">
        <f>IF(Инвентаризация!C12="","",Инвентаризация!F12)</f>
        <v>0</v>
      </c>
      <c r="F12" s="12">
        <f>IF(Инвентаризация!C12="","",Инвентаризация!G12)</f>
        <v>9000</v>
      </c>
      <c r="G12" s="12">
        <f t="shared" si="0"/>
        <v>9000</v>
      </c>
      <c r="H12" s="13">
        <f t="shared" si="1"/>
        <v>1</v>
      </c>
      <c r="I12" s="12">
        <f t="shared" si="2"/>
        <v>0</v>
      </c>
      <c r="J12" s="12">
        <f t="shared" si="3"/>
        <v>9000</v>
      </c>
      <c r="K12" s="12">
        <f t="shared" si="4"/>
        <v>9000</v>
      </c>
      <c r="L12" s="10" t="str">
        <f>IF(Инвентаризация!C12="","",Инвентаризация!M12)</f>
        <v>Да</v>
      </c>
      <c r="M12" s="10">
        <f>IF(Инвентаризация!C12="","",Инвентаризация!N12)</f>
        <v>173088211</v>
      </c>
      <c r="N12" s="10">
        <f>IF(Инвентаризация!C12="","",Инвентаризация!O12)</f>
        <v>0</v>
      </c>
      <c r="O12" s="10">
        <f>IF(Инвентаризация!C12="","",Инвентаризация!P12)</f>
        <v>0</v>
      </c>
      <c r="P12" s="8">
        <f>IF(Инвентаризация!C12="","",Инвентаризация!Q12)</f>
        <v>46240</v>
      </c>
    </row>
    <row r="13" spans="1:16">
      <c r="A13" s="10" t="str">
        <f>IF(Инвентаризация!C13="","",Инвентаризация!B13)</f>
        <v>AKEBONO</v>
      </c>
      <c r="B13" s="10" t="str">
        <f>IF(Инвентаризация!C13="","",Инвентаризация!C13)</f>
        <v>AN691WK</v>
      </c>
      <c r="C13" s="5" t="str">
        <f>IF(Инвентаризация!C13="","",Инвентаризация!D13)</f>
        <v>Колодки тормозные передние</v>
      </c>
      <c r="D13" s="11">
        <f>IF(Инвентаризация!C13="","",Инвентаризация!E13)</f>
        <v>1</v>
      </c>
      <c r="E13" s="12">
        <f>IF(Инвентаризация!C13="","",Инвентаризация!F13)</f>
        <v>0</v>
      </c>
      <c r="F13" s="12">
        <f>IF(Инвентаризация!C13="","",Инвентаризация!G13)</f>
        <v>9000</v>
      </c>
      <c r="G13" s="12">
        <f t="shared" si="0"/>
        <v>9000</v>
      </c>
      <c r="H13" s="13">
        <f t="shared" si="1"/>
        <v>1</v>
      </c>
      <c r="I13" s="12">
        <f t="shared" si="2"/>
        <v>0</v>
      </c>
      <c r="J13" s="12">
        <f t="shared" si="3"/>
        <v>9000</v>
      </c>
      <c r="K13" s="12">
        <f t="shared" si="4"/>
        <v>9000</v>
      </c>
      <c r="L13" s="10" t="str">
        <f>IF(Инвентаризация!C13="","",Инвентаризация!M13)</f>
        <v>Да</v>
      </c>
      <c r="M13" s="10">
        <f>IF(Инвентаризация!C13="","",Инвентаризация!N13)</f>
        <v>173135153</v>
      </c>
      <c r="N13" s="10">
        <f>IF(Инвентаризация!C13="","",Инвентаризация!O13)</f>
        <v>0</v>
      </c>
      <c r="O13" s="10">
        <f>IF(Инвентаризация!C13="","",Инвентаризация!P13)</f>
        <v>0</v>
      </c>
      <c r="P13" s="8">
        <f>IF(Инвентаризация!C13="","",Инвентаризация!Q13)</f>
        <v>46241</v>
      </c>
    </row>
    <row r="14" spans="1:16">
      <c r="A14" s="10" t="str">
        <f>IF(Инвентаризация!C14="","",Инвентаризация!B14)</f>
        <v>TEXTAR</v>
      </c>
      <c r="B14" s="10">
        <f>IF(Инвентаризация!C14="","",Инвентаризация!C14)</f>
        <v>2176603</v>
      </c>
      <c r="C14" s="5" t="str">
        <f>IF(Инвентаризация!C14="","",Инвентаризация!D14)</f>
        <v>Колодки тормозные задние</v>
      </c>
      <c r="D14" s="11">
        <f>IF(Инвентаризация!C14="","",Инвентаризация!E14)</f>
        <v>1</v>
      </c>
      <c r="E14" s="12">
        <f>IF(Инвентаризация!C14="","",Инвентаризация!F14)</f>
        <v>0</v>
      </c>
      <c r="F14" s="12">
        <f>IF(Инвентаризация!C14="","",Инвентаризация!G14)</f>
        <v>7000</v>
      </c>
      <c r="G14" s="12">
        <f t="shared" si="0"/>
        <v>7000</v>
      </c>
      <c r="H14" s="13">
        <f t="shared" si="1"/>
        <v>1</v>
      </c>
      <c r="I14" s="12">
        <f t="shared" si="2"/>
        <v>0</v>
      </c>
      <c r="J14" s="12">
        <f t="shared" si="3"/>
        <v>7000</v>
      </c>
      <c r="K14" s="12">
        <f t="shared" si="4"/>
        <v>7000</v>
      </c>
      <c r="L14" s="10" t="str">
        <f>IF(Инвентаризация!C14="","",Инвентаризация!M14)</f>
        <v>Да</v>
      </c>
      <c r="M14" s="10">
        <f>IF(Инвентаризация!C14="","",Инвентаризация!N14)</f>
        <v>173197265</v>
      </c>
      <c r="N14" s="10">
        <f>IF(Инвентаризация!C14="","",Инвентаризация!O14)</f>
        <v>0</v>
      </c>
      <c r="O14" s="10">
        <f>IF(Инвентаризация!C14="","",Инвентаризация!P14)</f>
        <v>0</v>
      </c>
      <c r="P14" s="8">
        <f>IF(Инвентаризация!C14="","",Инвентаризация!Q14)</f>
        <v>46242</v>
      </c>
    </row>
    <row r="15" spans="1:16">
      <c r="A15" s="10" t="str">
        <f>IF(Инвентаризация!C15="","",Инвентаризация!B15)</f>
        <v>ROADHOUSE</v>
      </c>
      <c r="B15" s="10">
        <f>IF(Инвентаризация!C15="","",Инвентаризация!C15)</f>
        <v>228220</v>
      </c>
      <c r="C15" s="5" t="str">
        <f>IF(Инвентаризация!C15="","",Инвентаризация!D15)</f>
        <v>Колодки тормозные задние</v>
      </c>
      <c r="D15" s="11">
        <f>IF(Инвентаризация!C15="","",Инвентаризация!E15)</f>
        <v>1</v>
      </c>
      <c r="E15" s="12">
        <f>IF(Инвентаризация!C15="","",Инвентаризация!F15)</f>
        <v>0</v>
      </c>
      <c r="F15" s="12">
        <f>IF(Инвентаризация!C15="","",Инвентаризация!G15)</f>
        <v>7000</v>
      </c>
      <c r="G15" s="12">
        <f t="shared" si="0"/>
        <v>7000</v>
      </c>
      <c r="H15" s="13">
        <f t="shared" si="1"/>
        <v>1</v>
      </c>
      <c r="I15" s="12">
        <f t="shared" si="2"/>
        <v>0</v>
      </c>
      <c r="J15" s="12">
        <f t="shared" si="3"/>
        <v>7000</v>
      </c>
      <c r="K15" s="12">
        <f t="shared" si="4"/>
        <v>7000</v>
      </c>
      <c r="L15" s="10" t="str">
        <f>IF(Инвентаризация!C15="","",Инвентаризация!M15)</f>
        <v>Да</v>
      </c>
      <c r="M15" s="10">
        <f>IF(Инвентаризация!C15="","",Инвентаризация!N15)</f>
        <v>173199833</v>
      </c>
      <c r="N15" s="10">
        <f>IF(Инвентаризация!C15="","",Инвентаризация!O15)</f>
        <v>0</v>
      </c>
      <c r="O15" s="10">
        <f>IF(Инвентаризация!C15="","",Инвентаризация!P15)</f>
        <v>0</v>
      </c>
      <c r="P15" s="8">
        <f>IF(Инвентаризация!C15="","",Инвентаризация!Q15)</f>
        <v>46242</v>
      </c>
    </row>
    <row r="16" spans="1:16">
      <c r="A16" s="10" t="str">
        <f>IF(Инвентаризация!C16="","",Инвентаризация!B16)</f>
        <v>REMSA</v>
      </c>
      <c r="B16" s="10" t="str">
        <f>IF(Инвентаризация!C16="","",Инвентаризация!C16)</f>
        <v>014132</v>
      </c>
      <c r="C16" s="5" t="str">
        <f>IF(Инвентаризация!C16="","",Инвентаризация!D16)</f>
        <v>Колодки тормозные передние</v>
      </c>
      <c r="D16" s="11">
        <f>IF(Инвентаризация!C16="","",Инвентаризация!E16)</f>
        <v>1</v>
      </c>
      <c r="E16" s="12">
        <f>IF(Инвентаризация!C16="","",Инвентаризация!F16)</f>
        <v>0</v>
      </c>
      <c r="F16" s="12">
        <f>IF(Инвентаризация!C16="","",Инвентаризация!G16)</f>
        <v>6000</v>
      </c>
      <c r="G16" s="12">
        <f t="shared" si="0"/>
        <v>6000</v>
      </c>
      <c r="H16" s="13">
        <f t="shared" si="1"/>
        <v>1</v>
      </c>
      <c r="I16" s="12">
        <f t="shared" si="2"/>
        <v>0</v>
      </c>
      <c r="J16" s="12">
        <f t="shared" si="3"/>
        <v>6000</v>
      </c>
      <c r="K16" s="12">
        <f t="shared" si="4"/>
        <v>6000</v>
      </c>
      <c r="L16" s="10" t="str">
        <f>IF(Инвентаризация!C16="","",Инвентаризация!M16)</f>
        <v>Да</v>
      </c>
      <c r="M16" s="10">
        <f>IF(Инвентаризация!C16="","",Инвентаризация!N16)</f>
        <v>0</v>
      </c>
      <c r="N16" s="10">
        <f>IF(Инвентаризация!C16="","",Инвентаризация!O16)</f>
        <v>0</v>
      </c>
      <c r="O16" s="10">
        <f>IF(Инвентаризация!C16="","",Инвентаризация!P16)</f>
        <v>0</v>
      </c>
      <c r="P16" s="8">
        <f>IF(Инвентаризация!C16="","",Инвентаризация!Q16)</f>
        <v>46242</v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15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16</v>
      </c>
      <c r="D5" t="s">
        <v>34</v>
      </c>
      <c r="E5">
        <f>COUNTIFS(Инвентаризация!E2:E500,"&gt;=1",Инвентаризация!E2:E500,"&lt;=2")</f>
        <v>15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157800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157800</v>
      </c>
    </row>
    <row r="9" spans="1:5">
      <c r="A9" t="s">
        <v>40</v>
      </c>
      <c r="B9">
        <f>COUNTIF(Инвентаризация!M2:M500,"Да")</f>
        <v>15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15</v>
      </c>
    </row>
    <row r="13" spans="1:5">
      <c r="A13" t="s">
        <v>8</v>
      </c>
      <c r="B13">
        <f>COUNTIF(Инвентаризация!I2:I500,"Да")</f>
        <v>15</v>
      </c>
    </row>
    <row r="14" spans="1:5">
      <c r="A14" t="s">
        <v>9</v>
      </c>
      <c r="B14">
        <f>COUNTIF(Инвентаризация!J2:J500,"Да")</f>
        <v>15</v>
      </c>
    </row>
    <row r="15" spans="1:5">
      <c r="A15" t="s">
        <v>10</v>
      </c>
      <c r="B15">
        <f>COUNTIF(Инвентаризация!K2:K500,"Да")</f>
        <v>15</v>
      </c>
    </row>
    <row r="16" spans="1:5">
      <c r="A16" t="s">
        <v>11</v>
      </c>
      <c r="B16">
        <f>COUNTIF(Инвентаризация!L2:L500,"Да")</f>
        <v>15</v>
      </c>
    </row>
    <row r="17" spans="1:2">
      <c r="A17" t="s">
        <v>12</v>
      </c>
      <c r="B17">
        <f>COUNTIF(Инвентаризация!M2:M500,"Да")</f>
        <v>15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2026-08-08T08:03:02Z</dcterms:modified>
</cp:coreProperties>
</file>