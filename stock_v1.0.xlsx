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AutoPartsCatalog\"/>
    </mc:Choice>
  </mc:AlternateContent>
  <bookViews>
    <workbookView xWindow="0" yWindow="0" windowWidth="51600" windowHeight="17580"/>
  </bookViews>
  <sheets>
    <sheet name="Инвентаризация" sheetId="1" r:id="rId1"/>
    <sheet name="Склад" sheetId="2" r:id="rId2"/>
    <sheet name="Сводка" sheetId="3" r:id="rId3"/>
  </sheets>
  <calcPr calcId="162913" refMode="R1C1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G7" i="2" s="1"/>
  <c r="H7" i="2" s="1"/>
  <c r="D7" i="2"/>
  <c r="J7" i="2" s="1"/>
  <c r="C7" i="2"/>
  <c r="B7" i="2"/>
  <c r="A7" i="2"/>
  <c r="P6" i="2"/>
  <c r="O6" i="2"/>
  <c r="N6" i="2"/>
  <c r="M6" i="2"/>
  <c r="L6" i="2"/>
  <c r="J6" i="2"/>
  <c r="I6" i="2"/>
  <c r="G6" i="2"/>
  <c r="K6" i="2" s="1"/>
  <c r="F6" i="2"/>
  <c r="E6" i="2"/>
  <c r="D6" i="2"/>
  <c r="C6" i="2"/>
  <c r="B6" i="2"/>
  <c r="A6" i="2"/>
  <c r="P5" i="2"/>
  <c r="O5" i="2"/>
  <c r="N5" i="2"/>
  <c r="M5" i="2"/>
  <c r="L5" i="2"/>
  <c r="F5" i="2"/>
  <c r="E5" i="2"/>
  <c r="G5" i="2" s="1"/>
  <c r="H5" i="2" s="1"/>
  <c r="D5" i="2"/>
  <c r="J5" i="2" s="1"/>
  <c r="C5" i="2"/>
  <c r="B5" i="2"/>
  <c r="A5" i="2"/>
  <c r="P4" i="2"/>
  <c r="O4" i="2"/>
  <c r="N4" i="2"/>
  <c r="M4" i="2"/>
  <c r="L4" i="2"/>
  <c r="J4" i="2"/>
  <c r="I4" i="2"/>
  <c r="H4" i="2"/>
  <c r="G4" i="2"/>
  <c r="K4" i="2" s="1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J3" i="2" l="1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3" i="2" l="1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<sst xmlns="http://schemas.openxmlformats.org/spreadsheetml/2006/main" count="73" uniqueCount="48">
  <si>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</si>
  <si>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</si>
  <si>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</si>
  <si>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</si>
  <si>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</si>
  <si>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</si>
  <si>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</si>
  <si>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</si>
  <si>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</si>
  <si>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</si>
  <si>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</si>
  <si>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</si>
  <si>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</si>
  <si>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</si>
  <si>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</si>
  <si>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</si>
  <si>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</si>
  <si>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</si>
  <si>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</si>
  <si>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</si>
  <si>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</si>
  <si>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</si>
  <si>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Эталонная карточка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</si>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</sst>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workbookViewId="0">
      <selection activeCell="J3" sqref="J3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44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45</v>
      </c>
      <c r="Q2" s="8">
        <v>46236</v>
      </c>
      <c r="R2" s="10" t="s">
        <v>22</v>
      </c>
    </row>
    <row r="3" spans="1:18">
      <c r="A3" s="8">
        <v>46236</v>
      </c>
      <c r="B3" s="10" t="s">
        <v>46</v>
      </c>
      <c r="C3" s="10" t="s">
        <v>47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/>
      <c r="J3" s="10" t="s">
        <v>21</v>
      </c>
      <c r="K3" s="10"/>
      <c r="L3" s="10"/>
      <c r="M3" s="10"/>
      <c r="N3" s="10"/>
      <c r="O3" s="10"/>
      <c r="P3" s="10"/>
      <c r="Q3" s="8"/>
      <c r="R3" s="10"/>
    </row>
    <row r="4" spans="1:18">
      <c r="A4" s="8"/>
      <c r="B4" s="10"/>
      <c r="C4" s="10"/>
      <c r="D4" s="5"/>
      <c r="E4" s="6"/>
      <c r="F4" s="7"/>
      <c r="G4" s="7"/>
      <c r="H4" s="10"/>
      <c r="I4" s="10"/>
      <c r="J4" s="10"/>
      <c r="K4" s="10"/>
      <c r="L4" s="10"/>
      <c r="M4" s="10"/>
      <c r="N4" s="10"/>
      <c r="O4" s="10"/>
      <c r="P4" s="10"/>
      <c r="Q4" s="8"/>
      <c r="R4" s="10"/>
    </row>
    <row r="5" spans="1:18">
      <c r="A5" s="8"/>
      <c r="B5" s="10"/>
      <c r="C5" s="10"/>
      <c r="D5" s="5"/>
      <c r="E5" s="6"/>
      <c r="F5" s="7"/>
      <c r="G5" s="7"/>
      <c r="H5" s="10"/>
      <c r="I5" s="10"/>
      <c r="J5" s="10"/>
      <c r="K5" s="10"/>
      <c r="L5" s="10"/>
      <c r="M5" s="10"/>
      <c r="N5" s="10"/>
      <c r="O5" s="10"/>
      <c r="P5" s="10"/>
      <c r="Q5" s="8"/>
      <c r="R5" s="10"/>
    </row>
    <row r="6" spans="1:18">
      <c r="A6" s="8"/>
      <c r="B6" s="10"/>
      <c r="C6" s="10"/>
      <c r="D6" s="5"/>
      <c r="E6" s="6"/>
      <c r="F6" s="7"/>
      <c r="G6" s="7"/>
      <c r="H6" s="10"/>
      <c r="I6" s="10"/>
      <c r="J6" s="10"/>
      <c r="K6" s="10"/>
      <c r="L6" s="10"/>
      <c r="M6" s="10"/>
      <c r="N6" s="10"/>
      <c r="O6" s="10"/>
      <c r="P6" s="10"/>
      <c r="Q6" s="8"/>
      <c r="R6" s="10"/>
    </row>
    <row r="7" spans="1:18">
      <c r="A7" s="8"/>
      <c r="B7" s="10"/>
      <c r="C7" s="10"/>
      <c r="D7" s="5"/>
      <c r="E7" s="6"/>
      <c r="F7" s="7"/>
      <c r="G7" s="7"/>
      <c r="H7" s="10"/>
      <c r="I7" s="10"/>
      <c r="J7" s="10"/>
      <c r="K7" s="10"/>
      <c r="L7" s="10"/>
      <c r="M7" s="10"/>
      <c r="N7" s="10"/>
      <c r="O7" s="10"/>
      <c r="P7" s="10"/>
      <c r="Q7" s="8"/>
      <c r="R7" s="10"/>
    </row>
    <row r="8" spans="1:18">
      <c r="A8" s="8"/>
      <c r="B8" s="10"/>
      <c r="C8" s="10"/>
      <c r="D8" s="5"/>
      <c r="E8" s="6"/>
      <c r="F8" s="7"/>
      <c r="G8" s="7"/>
      <c r="H8" s="10"/>
      <c r="I8" s="10"/>
      <c r="J8" s="10"/>
      <c r="K8" s="10"/>
      <c r="L8" s="10"/>
      <c r="M8" s="10"/>
      <c r="N8" s="10"/>
      <c r="O8" s="10"/>
      <c r="P8" s="10"/>
      <c r="Q8" s="8"/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K21" sqref="K21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>
        <f>IF(Инвентаризация!C3="","",Инвентаризация!M3)</f>
        <v>0</v>
      </c>
      <c r="M3" s="10">
        <f>IF(Инвентаризация!C3="","",Инвентаризация!N3)</f>
        <v>0</v>
      </c>
      <c r="N3" s="10">
        <f>IF(Инвентаризация!C3="","",Инвентаризация!O3)</f>
        <v>0</v>
      </c>
      <c r="O3" s="10">
        <f>IF(Инвентаризация!C3="","",Инвентаризация!P3)</f>
        <v>0</v>
      </c>
      <c r="P3" s="8">
        <f>IF(Инвентаризация!C3="","",Инвентаризация!Q3)</f>
        <v>0</v>
      </c>
    </row>
    <row r="4" spans="1:16">
      <c r="A4" s="10" t="str">
        <f>IF(Инвентаризация!C4="","",Инвентаризация!B4)</f>
        <v/>
      </c>
      <c r="B4" s="10" t="str">
        <f>IF(Инвентаризация!C4="","",Инвентаризация!C4)</f>
        <v/>
      </c>
      <c r="C4" s="5" t="str">
        <f>IF(Инвентаризация!C4="","",Инвентаризация!D4)</f>
        <v/>
      </c>
      <c r="D4" s="11" t="str">
        <f>IF(Инвентаризация!C4="","",Инвентаризация!E4)</f>
        <v/>
      </c>
      <c r="E4" s="12" t="str">
        <f>IF(Инвентаризация!C4="","",Инвентаризация!F4)</f>
        <v/>
      </c>
      <c r="F4" s="12" t="str">
        <f>IF(Инвентаризация!C4="","",Инвентаризация!G4)</f>
        <v/>
      </c>
      <c r="G4" s="12" t="str">
        <f t="shared" si="0"/>
        <v/>
      </c>
      <c r="H4" s="13" t="str">
        <f t="shared" si="1"/>
        <v/>
      </c>
      <c r="I4" s="12" t="str">
        <f t="shared" si="2"/>
        <v/>
      </c>
      <c r="J4" s="12" t="str">
        <f t="shared" si="3"/>
        <v/>
      </c>
      <c r="K4" s="12" t="str">
        <f t="shared" si="4"/>
        <v/>
      </c>
      <c r="L4" s="10" t="str">
        <f>IF(Инвентаризация!C4="","",Инвентаризация!M4)</f>
        <v/>
      </c>
      <c r="M4" s="10" t="str">
        <f>IF(Инвентаризация!C4="","",Инвентаризация!N4)</f>
        <v/>
      </c>
      <c r="N4" s="10" t="str">
        <f>IF(Инвентаризация!C4="","",Инвентаризация!O4)</f>
        <v/>
      </c>
      <c r="O4" s="10" t="str">
        <f>IF(Инвентаризация!C4="","",Инвентаризация!P4)</f>
        <v/>
      </c>
      <c r="P4" s="8" t="str">
        <f>IF(Инвентаризация!C4="","",Инвентаризация!Q4)</f>
        <v/>
      </c>
    </row>
    <row r="5" spans="1:16">
      <c r="A5" s="10" t="str">
        <f>IF(Инвентаризация!C5="","",Инвентаризация!B5)</f>
        <v/>
      </c>
      <c r="B5" s="10" t="str">
        <f>IF(Инвентаризация!C5="","",Инвентаризация!C5)</f>
        <v/>
      </c>
      <c r="C5" s="5" t="str">
        <f>IF(Инвентаризация!C5="","",Инвентаризация!D5)</f>
        <v/>
      </c>
      <c r="D5" s="11" t="str">
        <f>IF(Инвентаризация!C5="","",Инвентаризация!E5)</f>
        <v/>
      </c>
      <c r="E5" s="12" t="str">
        <f>IF(Инвентаризация!C5="","",Инвентаризация!F5)</f>
        <v/>
      </c>
      <c r="F5" s="12" t="str">
        <f>IF(Инвентаризация!C5="","",Инвентаризация!G5)</f>
        <v/>
      </c>
      <c r="G5" s="12" t="str">
        <f t="shared" si="0"/>
        <v/>
      </c>
      <c r="H5" s="13" t="str">
        <f t="shared" si="1"/>
        <v/>
      </c>
      <c r="I5" s="12" t="str">
        <f t="shared" si="2"/>
        <v/>
      </c>
      <c r="J5" s="12" t="str">
        <f t="shared" si="3"/>
        <v/>
      </c>
      <c r="K5" s="12" t="str">
        <f t="shared" si="4"/>
        <v/>
      </c>
      <c r="L5" s="10" t="str">
        <f>IF(Инвентаризация!C5="","",Инвентаризация!M5)</f>
        <v/>
      </c>
      <c r="M5" s="10" t="str">
        <f>IF(Инвентаризация!C5="","",Инвентаризация!N5)</f>
        <v/>
      </c>
      <c r="N5" s="10" t="str">
        <f>IF(Инвентаризация!C5="","",Инвентаризация!O5)</f>
        <v/>
      </c>
      <c r="O5" s="10" t="str">
        <f>IF(Инвентаризация!C5="","",Инвентаризация!P5)</f>
        <v/>
      </c>
      <c r="P5" s="8" t="str">
        <f>IF(Инвентаризация!C5="","",Инвентаризация!Q5)</f>
        <v/>
      </c>
    </row>
    <row r="6" spans="1:16">
      <c r="A6" s="10" t="str">
        <f>IF(Инвентаризация!C6="","",Инвентаризация!B6)</f>
        <v/>
      </c>
      <c r="B6" s="10" t="str">
        <f>IF(Инвентаризация!C6="","",Инвентаризация!C6)</f>
        <v/>
      </c>
      <c r="C6" s="5" t="str">
        <f>IF(Инвентаризация!C6="","",Инвентаризация!D6)</f>
        <v/>
      </c>
      <c r="D6" s="11" t="str">
        <f>IF(Инвентаризация!C6="","",Инвентаризация!E6)</f>
        <v/>
      </c>
      <c r="E6" s="12" t="str">
        <f>IF(Инвентаризация!C6="","",Инвентаризация!F6)</f>
        <v/>
      </c>
      <c r="F6" s="12" t="str">
        <f>IF(Инвентаризация!C6="","",Инвентаризация!G6)</f>
        <v/>
      </c>
      <c r="G6" s="12" t="str">
        <f t="shared" si="0"/>
        <v/>
      </c>
      <c r="H6" s="13" t="str">
        <f t="shared" si="1"/>
        <v/>
      </c>
      <c r="I6" s="12" t="str">
        <f t="shared" si="2"/>
        <v/>
      </c>
      <c r="J6" s="12" t="str">
        <f t="shared" si="3"/>
        <v/>
      </c>
      <c r="K6" s="12" t="str">
        <f t="shared" si="4"/>
        <v/>
      </c>
      <c r="L6" s="10" t="str">
        <f>IF(Инвентаризация!C6="","",Инвентаризация!M6)</f>
        <v/>
      </c>
      <c r="M6" s="10" t="str">
        <f>IF(Инвентаризация!C6="","",Инвентаризация!N6)</f>
        <v/>
      </c>
      <c r="N6" s="10" t="str">
        <f>IF(Инвентаризация!C6="","",Инвентаризация!O6)</f>
        <v/>
      </c>
      <c r="O6" s="10" t="str">
        <f>IF(Инвентаризация!C6="","",Инвентаризация!P6)</f>
        <v/>
      </c>
      <c r="P6" s="8" t="str">
        <f>IF(Инвентаризация!C6="","",Инвентаризация!Q6)</f>
        <v/>
      </c>
    </row>
    <row r="7" spans="1:16">
      <c r="A7" s="10" t="str">
        <f>IF(Инвентаризация!C7="","",Инвентаризация!B7)</f>
        <v/>
      </c>
      <c r="B7" s="10" t="str">
        <f>IF(Инвентаризация!C7="","",Инвентаризация!C7)</f>
        <v/>
      </c>
      <c r="C7" s="5" t="str">
        <f>IF(Инвентаризация!C7="","",Инвентаризация!D7)</f>
        <v/>
      </c>
      <c r="D7" s="11" t="str">
        <f>IF(Инвентаризация!C7="","",Инвентаризация!E7)</f>
        <v/>
      </c>
      <c r="E7" s="12" t="str">
        <f>IF(Инвентаризация!C7="","",Инвентаризация!F7)</f>
        <v/>
      </c>
      <c r="F7" s="12" t="str">
        <f>IF(Инвентаризация!C7="","",Инвентаризация!G7)</f>
        <v/>
      </c>
      <c r="G7" s="12" t="str">
        <f t="shared" si="0"/>
        <v/>
      </c>
      <c r="H7" s="13" t="str">
        <f t="shared" si="1"/>
        <v/>
      </c>
      <c r="I7" s="12" t="str">
        <f t="shared" si="2"/>
        <v/>
      </c>
      <c r="J7" s="12" t="str">
        <f t="shared" si="3"/>
        <v/>
      </c>
      <c r="K7" s="12" t="str">
        <f t="shared" si="4"/>
        <v/>
      </c>
      <c r="L7" s="10" t="str">
        <f>IF(Инвентаризация!C7="","",Инвентаризация!M7)</f>
        <v/>
      </c>
      <c r="M7" s="10" t="str">
        <f>IF(Инвентаризация!C7="","",Инвентаризация!N7)</f>
        <v/>
      </c>
      <c r="N7" s="10" t="str">
        <f>IF(Инвентаризация!C7="","",Инвентаризация!O7)</f>
        <v/>
      </c>
      <c r="O7" s="10" t="str">
        <f>IF(Инвентаризация!C7="","",Инвентаризация!P7)</f>
        <v/>
      </c>
      <c r="P7" s="8" t="str">
        <f>IF(Инвентаризация!C7="","",Инвентаризация!Q7)</f>
        <v/>
      </c>
    </row>
    <row r="8" spans="1:16">
      <c r="A8" s="10" t="str">
        <f>IF(Инвентаризация!C8="","",Инвентаризация!B8)</f>
        <v/>
      </c>
      <c r="B8" s="10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1" t="str">
        <f>IF(Инвентаризация!C8="","",Инвентаризация!E8)</f>
        <v/>
      </c>
      <c r="E8" s="12" t="str">
        <f>IF(Инвентаризация!C8="","",Инвентаризация!F8)</f>
        <v/>
      </c>
      <c r="F8" s="12" t="str">
        <f>IF(Инвентаризация!C8="","",Инвентаризация!G8)</f>
        <v/>
      </c>
      <c r="G8" s="12" t="str">
        <f t="shared" si="0"/>
        <v/>
      </c>
      <c r="H8" s="13" t="str">
        <f t="shared" si="1"/>
        <v/>
      </c>
      <c r="I8" s="12" t="str">
        <f t="shared" si="2"/>
        <v/>
      </c>
      <c r="J8" s="12" t="str">
        <f t="shared" si="3"/>
        <v/>
      </c>
      <c r="K8" s="12" t="str">
        <f t="shared" si="4"/>
        <v/>
      </c>
      <c r="L8" s="10" t="str">
        <f>IF(Инвентаризация!C8="","",Инвентаризация!M8)</f>
        <v/>
      </c>
      <c r="M8" s="10" t="str">
        <f>IF(Инвентаризация!C8="","",Инвентаризация!N8)</f>
        <v/>
      </c>
      <c r="N8" s="10" t="str">
        <f>IF(Инвентаризация!C8="","",Инвентаризация!O8)</f>
        <v/>
      </c>
      <c r="O8" s="10" t="str">
        <f>IF(Инвентаризация!C8="","",Инвентаризация!P8)</f>
        <v/>
      </c>
      <c r="P8" s="8" t="str">
        <f>IF(Инвентаризация!C8="","",Инвентаризация!Q8)</f>
        <v/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28</v>
      </c>
      <c r="B1" s="14"/>
      <c r="C1" s="14"/>
      <c r="D1" s="14"/>
    </row>
    <row r="3" spans="1:5" ht="15">
      <c r="A3" s="1" t="s">
        <v>29</v>
      </c>
      <c r="B3" s="3" t="s">
        <v>30</v>
      </c>
      <c r="D3" s="1" t="s">
        <v>31</v>
      </c>
      <c r="E3" s="3" t="s">
        <v>4</v>
      </c>
    </row>
    <row r="4" spans="1:5">
      <c r="A4" t="s">
        <v>32</v>
      </c>
      <c r="B4">
        <f>COUNTIF(Инвентаризация!C2:C500,"&lt;&gt;")</f>
        <v>2</v>
      </c>
      <c r="D4" t="s">
        <v>33</v>
      </c>
      <c r="E4">
        <f>COUNTIF(Инвентаризация!E2:E500,0)</f>
        <v>0</v>
      </c>
    </row>
    <row r="5" spans="1:5">
      <c r="A5" t="s">
        <v>34</v>
      </c>
      <c r="B5">
        <f>SUM(Инвентаризация!E2:E500)</f>
        <v>2</v>
      </c>
      <c r="D5" t="s">
        <v>35</v>
      </c>
      <c r="E5">
        <f>COUNTIFS(Инвентаризация!E2:E500,"&gt;=1",Инвентаризация!E2:E500,"&lt;=2")</f>
        <v>2</v>
      </c>
    </row>
    <row r="6" spans="1:5">
      <c r="A6" t="s">
        <v>36</v>
      </c>
      <c r="B6" s="4">
        <f>SUMPRODUCT(Инвентаризация!E2:E500,Инвентаризация!F2:F500)</f>
        <v>0</v>
      </c>
      <c r="D6" t="s">
        <v>37</v>
      </c>
      <c r="E6">
        <f>COUNTIF(Инвентаризация!K2:K500,"Нет")</f>
        <v>0</v>
      </c>
    </row>
    <row r="7" spans="1:5">
      <c r="A7" t="s">
        <v>38</v>
      </c>
      <c r="B7" s="4">
        <f>SUMPRODUCT(Инвентаризация!E2:E500,Инвентаризация!G2:G500)</f>
        <v>22000</v>
      </c>
      <c r="D7" t="s">
        <v>39</v>
      </c>
      <c r="E7">
        <f>COUNTIF(Инвентаризация!M2:M500,"Нет")</f>
        <v>0</v>
      </c>
    </row>
    <row r="8" spans="1:5">
      <c r="A8" t="s">
        <v>40</v>
      </c>
      <c r="B8" s="4">
        <f>B7-B6</f>
        <v>22000</v>
      </c>
    </row>
    <row r="9" spans="1:5">
      <c r="A9" t="s">
        <v>41</v>
      </c>
      <c r="B9">
        <f>COUNTIF(Инвентаризация!M2:M500,"Да")</f>
        <v>1</v>
      </c>
    </row>
    <row r="11" spans="1:5" ht="15">
      <c r="A11" s="1" t="s">
        <v>42</v>
      </c>
      <c r="B11" s="3" t="s">
        <v>43</v>
      </c>
    </row>
    <row r="12" spans="1:5">
      <c r="A12" t="s">
        <v>7</v>
      </c>
      <c r="B12">
        <f>COUNTIF(Инвентаризация!H2:H500,"Да")</f>
        <v>2</v>
      </c>
    </row>
    <row r="13" spans="1:5">
      <c r="A13" t="s">
        <v>8</v>
      </c>
      <c r="B13">
        <f>COUNTIF(Инвентаризация!I2:I500,"Да")</f>
        <v>1</v>
      </c>
    </row>
    <row r="14" spans="1:5">
      <c r="A14" t="s">
        <v>9</v>
      </c>
      <c r="B14">
        <f>COUNTIF(Инвентаризация!J2:J500,"Да")</f>
        <v>2</v>
      </c>
    </row>
    <row r="15" spans="1:5">
      <c r="A15" t="s">
        <v>10</v>
      </c>
      <c r="B15">
        <f>COUNTIF(Инвентаризация!K2:K500,"Да")</f>
        <v>1</v>
      </c>
    </row>
    <row r="16" spans="1:5">
      <c r="A16" t="s">
        <v>11</v>
      </c>
      <c r="B16">
        <f>COUNTIF(Инвентаризация!L2:L500,"Да")</f>
        <v>1</v>
      </c>
    </row>
    <row r="17" spans="1:2">
      <c r="A17" t="s">
        <v>12</v>
      </c>
      <c r="B17">
        <f>COUNTIF(Инвентаризация!M2:M500,"Да")</f>
        <v>1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2026-08-02T10:49:55Z</dcterms:modified>
</cp:coreProperties>
</file>