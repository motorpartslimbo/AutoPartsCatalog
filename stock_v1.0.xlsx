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 refMode="R1C1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J10" i="2"/>
  <c r="I10" i="2"/>
  <c r="H10" i="2"/>
  <c r="G10" i="2"/>
  <c r="K10" i="2" s="1"/>
  <c r="F10" i="2"/>
  <c r="E10" i="2"/>
  <c r="D10" i="2"/>
  <c r="C10" i="2"/>
  <c r="B10" i="2"/>
  <c r="A10" i="2"/>
  <c r="P9" i="2"/>
  <c r="O9" i="2"/>
  <c r="N9" i="2"/>
  <c r="M9" i="2"/>
  <c r="L9" i="2"/>
  <c r="F9" i="2"/>
  <c r="E9" i="2"/>
  <c r="G9" i="2" s="1"/>
  <c r="H9" i="2" s="1"/>
  <c r="D9" i="2"/>
  <c r="J9" i="2" s="1"/>
  <c r="C9" i="2"/>
  <c r="B9" i="2"/>
  <c r="A9" i="2"/>
  <c r="P8" i="2"/>
  <c r="O8" i="2"/>
  <c r="N8" i="2"/>
  <c r="M8" i="2"/>
  <c r="L8" i="2"/>
  <c r="J8" i="2"/>
  <c r="I8" i="2"/>
  <c r="H8" i="2"/>
  <c r="G8" i="2"/>
  <c r="K8" i="2" s="1"/>
  <c r="F8" i="2"/>
  <c r="E8" i="2"/>
  <c r="D8" i="2"/>
  <c r="C8" i="2"/>
  <c r="B8" i="2"/>
  <c r="A8" i="2"/>
  <c r="P7" i="2"/>
  <c r="O7" i="2"/>
  <c r="N7" i="2"/>
  <c r="M7" i="2"/>
  <c r="L7" i="2"/>
  <c r="F7" i="2"/>
  <c r="E7" i="2"/>
  <c r="G7" i="2" s="1"/>
  <c r="H7" i="2" s="1"/>
  <c r="D7" i="2"/>
  <c r="J7" i="2" s="1"/>
  <c r="C7" i="2"/>
  <c r="B7" i="2"/>
  <c r="A7" i="2"/>
  <c r="P6" i="2"/>
  <c r="O6" i="2"/>
  <c r="N6" i="2"/>
  <c r="M6" i="2"/>
  <c r="L6" i="2"/>
  <c r="J6" i="2"/>
  <c r="I6" i="2"/>
  <c r="G6" i="2"/>
  <c r="K6" i="2" s="1"/>
  <c r="F6" i="2"/>
  <c r="E6" i="2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G5" i="2" l="1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K3" i="2" l="1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<sst xmlns="http://schemas.openxmlformats.org/spreadsheetml/2006/main" count="96" uniqueCount="53">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</sst>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D32" sqref="D32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1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/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/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/>
      <c r="B6" s="10"/>
      <c r="C6" s="10"/>
      <c r="D6" s="5"/>
      <c r="E6" s="6"/>
      <c r="F6" s="7"/>
      <c r="G6" s="7"/>
      <c r="H6" s="10"/>
      <c r="I6" s="10"/>
      <c r="J6" s="10"/>
      <c r="K6" s="10"/>
      <c r="L6" s="10"/>
      <c r="M6" s="10"/>
      <c r="N6" s="10"/>
      <c r="O6" s="10"/>
      <c r="P6" s="10"/>
      <c r="Q6" s="8"/>
      <c r="R6" s="10"/>
    </row>
    <row r="7" spans="1:18">
      <c r="A7" s="8"/>
      <c r="B7" s="10"/>
      <c r="C7" s="10"/>
      <c r="D7" s="5"/>
      <c r="E7" s="6"/>
      <c r="F7" s="7"/>
      <c r="G7" s="7"/>
      <c r="H7" s="10"/>
      <c r="I7" s="10"/>
      <c r="J7" s="10"/>
      <c r="K7" s="10"/>
      <c r="L7" s="10"/>
      <c r="M7" s="10"/>
      <c r="N7" s="10"/>
      <c r="O7" s="10"/>
      <c r="P7" s="10"/>
      <c r="Q7" s="8"/>
      <c r="R7" s="10"/>
    </row>
    <row r="8" spans="1:18">
      <c r="A8" s="8"/>
      <c r="B8" s="10"/>
      <c r="C8" s="10"/>
      <c r="D8" s="5"/>
      <c r="E8" s="6"/>
      <c r="F8" s="7"/>
      <c r="G8" s="7"/>
      <c r="H8" s="10"/>
      <c r="I8" s="10"/>
      <c r="J8" s="10"/>
      <c r="K8" s="10"/>
      <c r="L8" s="10"/>
      <c r="M8" s="10"/>
      <c r="N8" s="10"/>
      <c r="O8" s="10"/>
      <c r="P8" s="10"/>
      <c r="Q8" s="8"/>
      <c r="R8" s="10"/>
    </row>
    <row r="9" spans="1:18">
      <c r="A9" s="8"/>
      <c r="B9" s="10"/>
      <c r="C9" s="10"/>
      <c r="D9" s="5"/>
      <c r="E9" s="6"/>
      <c r="F9" s="7"/>
      <c r="G9" s="7"/>
      <c r="H9" s="10"/>
      <c r="I9" s="10"/>
      <c r="J9" s="10"/>
      <c r="K9" s="10"/>
      <c r="L9" s="10"/>
      <c r="M9" s="10"/>
      <c r="N9" s="10"/>
      <c r="O9" s="10"/>
      <c r="P9" s="10"/>
      <c r="Q9" s="8"/>
      <c r="R9" s="10"/>
    </row>
    <row r="10" spans="1:18">
      <c r="A10" s="8"/>
      <c r="B10" s="10"/>
      <c r="C10" s="10"/>
      <c r="D10" s="5"/>
      <c r="E10" s="6"/>
      <c r="F10" s="7"/>
      <c r="G10" s="7"/>
      <c r="H10" s="10"/>
      <c r="I10" s="10"/>
      <c r="J10" s="10"/>
      <c r="K10" s="10"/>
      <c r="L10" s="10"/>
      <c r="M10" s="10"/>
      <c r="N10" s="10"/>
      <c r="O10" s="10"/>
      <c r="P10" s="10"/>
      <c r="Q10" s="8"/>
      <c r="R10" s="10"/>
    </row>
    <row r="11" spans="1:18">
      <c r="A11" s="8"/>
      <c r="B11" s="10"/>
      <c r="C11" s="10"/>
      <c r="D11" s="5"/>
      <c r="E11" s="6"/>
      <c r="F11" s="7"/>
      <c r="G11" s="7"/>
      <c r="H11" s="10"/>
      <c r="I11" s="10"/>
      <c r="J11" s="10"/>
      <c r="K11" s="10"/>
      <c r="L11" s="10"/>
      <c r="M11" s="10"/>
      <c r="N11" s="10"/>
      <c r="O11" s="10"/>
      <c r="P11" s="10"/>
      <c r="Q11" s="8"/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K21" sqref="K21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1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12000</v>
      </c>
      <c r="K4" s="12">
        <f t="shared" si="4"/>
        <v>12000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>
      <c r="A6" s="10" t="str">
        <f>IF(Инвентаризация!C6="","",Инвентаризация!B6)</f>
        <v/>
      </c>
      <c r="B6" s="10" t="str">
        <f>IF(Инвентаризация!C6="","",Инвентаризация!C6)</f>
        <v/>
      </c>
      <c r="C6" s="5" t="str">
        <f>IF(Инвентаризация!C6="","",Инвентаризация!D6)</f>
        <v/>
      </c>
      <c r="D6" s="11" t="str">
        <f>IF(Инвентаризация!C6="","",Инвентаризация!E6)</f>
        <v/>
      </c>
      <c r="E6" s="12" t="str">
        <f>IF(Инвентаризация!C6="","",Инвентаризация!F6)</f>
        <v/>
      </c>
      <c r="F6" s="12" t="str">
        <f>IF(Инвентаризация!C6="","",Инвентаризация!G6)</f>
        <v/>
      </c>
      <c r="G6" s="12" t="str">
        <f t="shared" si="0"/>
        <v/>
      </c>
      <c r="H6" s="13" t="str">
        <f t="shared" si="1"/>
        <v/>
      </c>
      <c r="I6" s="12" t="str">
        <f t="shared" si="2"/>
        <v/>
      </c>
      <c r="J6" s="12" t="str">
        <f t="shared" si="3"/>
        <v/>
      </c>
      <c r="K6" s="12" t="str">
        <f t="shared" si="4"/>
        <v/>
      </c>
      <c r="L6" s="10" t="str">
        <f>IF(Инвентаризация!C6="","",Инвентаризация!M6)</f>
        <v/>
      </c>
      <c r="M6" s="10" t="str">
        <f>IF(Инвентаризация!C6="","",Инвентаризация!N6)</f>
        <v/>
      </c>
      <c r="N6" s="10" t="str">
        <f>IF(Инвентаризация!C6="","",Инвентаризация!O6)</f>
        <v/>
      </c>
      <c r="O6" s="10" t="str">
        <f>IF(Инвентаризация!C6="","",Инвентаризация!P6)</f>
        <v/>
      </c>
      <c r="P6" s="8" t="str">
        <f>IF(Инвентаризация!C6="","",Инвентаризация!Q6)</f>
        <v/>
      </c>
    </row>
    <row r="7" spans="1:16">
      <c r="A7" s="10" t="str">
        <f>IF(Инвентаризация!C7="","",Инвентаризация!B7)</f>
        <v/>
      </c>
      <c r="B7" s="10" t="str">
        <f>IF(Инвентаризация!C7="","",Инвентаризация!C7)</f>
        <v/>
      </c>
      <c r="C7" s="5" t="str">
        <f>IF(Инвентаризация!C7="","",Инвентаризация!D7)</f>
        <v/>
      </c>
      <c r="D7" s="11" t="str">
        <f>IF(Инвентаризация!C7="","",Инвентаризация!E7)</f>
        <v/>
      </c>
      <c r="E7" s="12" t="str">
        <f>IF(Инвентаризация!C7="","",Инвентаризация!F7)</f>
        <v/>
      </c>
      <c r="F7" s="12" t="str">
        <f>IF(Инвентаризация!C7="","",Инвентаризация!G7)</f>
        <v/>
      </c>
      <c r="G7" s="12" t="str">
        <f t="shared" si="0"/>
        <v/>
      </c>
      <c r="H7" s="13" t="str">
        <f t="shared" si="1"/>
        <v/>
      </c>
      <c r="I7" s="12" t="str">
        <f t="shared" si="2"/>
        <v/>
      </c>
      <c r="J7" s="12" t="str">
        <f t="shared" si="3"/>
        <v/>
      </c>
      <c r="K7" s="12" t="str">
        <f t="shared" si="4"/>
        <v/>
      </c>
      <c r="L7" s="10" t="str">
        <f>IF(Инвентаризация!C7="","",Инвентаризация!M7)</f>
        <v/>
      </c>
      <c r="M7" s="10" t="str">
        <f>IF(Инвентаризация!C7="","",Инвентаризация!N7)</f>
        <v/>
      </c>
      <c r="N7" s="10" t="str">
        <f>IF(Инвентаризация!C7="","",Инвентаризация!O7)</f>
        <v/>
      </c>
      <c r="O7" s="10" t="str">
        <f>IF(Инвентаризация!C7="","",Инвентаризация!P7)</f>
        <v/>
      </c>
      <c r="P7" s="8" t="str">
        <f>IF(Инвентаризация!C7="","",Инвентаризация!Q7)</f>
        <v/>
      </c>
    </row>
    <row r="8" spans="1:16">
      <c r="A8" s="10" t="str">
        <f>IF(Инвентаризация!C8="","",Инвентаризация!B8)</f>
        <v/>
      </c>
      <c r="B8" s="10" t="str">
        <f>IF(Инвентаризация!C8="","",Инвентаризация!C8)</f>
        <v/>
      </c>
      <c r="C8" s="5" t="str">
        <f>IF(Инвентаризация!C8="","",Инвентаризация!D8)</f>
        <v/>
      </c>
      <c r="D8" s="11" t="str">
        <f>IF(Инвентаризация!C8="","",Инвентаризация!E8)</f>
        <v/>
      </c>
      <c r="E8" s="12" t="str">
        <f>IF(Инвентаризация!C8="","",Инвентаризация!F8)</f>
        <v/>
      </c>
      <c r="F8" s="12" t="str">
        <f>IF(Инвентаризация!C8="","",Инвентаризация!G8)</f>
        <v/>
      </c>
      <c r="G8" s="12" t="str">
        <f t="shared" si="0"/>
        <v/>
      </c>
      <c r="H8" s="13" t="str">
        <f t="shared" si="1"/>
        <v/>
      </c>
      <c r="I8" s="12" t="str">
        <f t="shared" si="2"/>
        <v/>
      </c>
      <c r="J8" s="12" t="str">
        <f t="shared" si="3"/>
        <v/>
      </c>
      <c r="K8" s="12" t="str">
        <f t="shared" si="4"/>
        <v/>
      </c>
      <c r="L8" s="10" t="str">
        <f>IF(Инвентаризация!C8="","",Инвентаризация!M8)</f>
        <v/>
      </c>
      <c r="M8" s="10" t="str">
        <f>IF(Инвентаризация!C8="","",Инвентаризация!N8)</f>
        <v/>
      </c>
      <c r="N8" s="10" t="str">
        <f>IF(Инвентаризация!C8="","",Инвентаризация!O8)</f>
        <v/>
      </c>
      <c r="O8" s="10" t="str">
        <f>IF(Инвентаризация!C8="","",Инвентаризация!P8)</f>
        <v/>
      </c>
      <c r="P8" s="8" t="str">
        <f>IF(Инвентаризация!C8="","",Инвентаризация!Q8)</f>
        <v/>
      </c>
    </row>
    <row r="9" spans="1:16">
      <c r="A9" s="10" t="str">
        <f>IF(Инвентаризация!C9="","",Инвентаризация!B9)</f>
        <v/>
      </c>
      <c r="B9" s="10" t="str">
        <f>IF(Инвентаризация!C9="","",Инвентаризация!C9)</f>
        <v/>
      </c>
      <c r="C9" s="5" t="str">
        <f>IF(Инвентаризация!C9="","",Инвентаризация!D9)</f>
        <v/>
      </c>
      <c r="D9" s="11" t="str">
        <f>IF(Инвентаризация!C9="","",Инвентаризация!E9)</f>
        <v/>
      </c>
      <c r="E9" s="12" t="str">
        <f>IF(Инвентаризация!C9="","",Инвентаризация!F9)</f>
        <v/>
      </c>
      <c r="F9" s="12" t="str">
        <f>IF(Инвентаризация!C9="","",Инвентаризация!G9)</f>
        <v/>
      </c>
      <c r="G9" s="12" t="str">
        <f t="shared" si="0"/>
        <v/>
      </c>
      <c r="H9" s="13" t="str">
        <f t="shared" si="1"/>
        <v/>
      </c>
      <c r="I9" s="12" t="str">
        <f t="shared" si="2"/>
        <v/>
      </c>
      <c r="J9" s="12" t="str">
        <f t="shared" si="3"/>
        <v/>
      </c>
      <c r="K9" s="12" t="str">
        <f t="shared" si="4"/>
        <v/>
      </c>
      <c r="L9" s="10" t="str">
        <f>IF(Инвентаризация!C9="","",Инвентаризация!M9)</f>
        <v/>
      </c>
      <c r="M9" s="10" t="str">
        <f>IF(Инвентаризация!C9="","",Инвентаризация!N9)</f>
        <v/>
      </c>
      <c r="N9" s="10" t="str">
        <f>IF(Инвентаризация!C9="","",Инвентаризация!O9)</f>
        <v/>
      </c>
      <c r="O9" s="10" t="str">
        <f>IF(Инвентаризация!C9="","",Инвентаризация!P9)</f>
        <v/>
      </c>
      <c r="P9" s="8" t="str">
        <f>IF(Инвентаризация!C9="","",Инвентаризация!Q9)</f>
        <v/>
      </c>
    </row>
    <row r="10" spans="1:16">
      <c r="A10" s="10" t="str">
        <f>IF(Инвентаризация!C10="","",Инвентаризация!B10)</f>
        <v/>
      </c>
      <c r="B10" s="10" t="str">
        <f>IF(Инвентаризация!C10="","",Инвентаризация!C10)</f>
        <v/>
      </c>
      <c r="C10" s="5" t="str">
        <f>IF(Инвентаризация!C10="","",Инвентаризация!D10)</f>
        <v/>
      </c>
      <c r="D10" s="11" t="str">
        <f>IF(Инвентаризация!C10="","",Инвентаризация!E10)</f>
        <v/>
      </c>
      <c r="E10" s="12" t="str">
        <f>IF(Инвентаризация!C10="","",Инвентаризация!F10)</f>
        <v/>
      </c>
      <c r="F10" s="12" t="str">
        <f>IF(Инвентаризация!C10="","",Инвентаризация!G10)</f>
        <v/>
      </c>
      <c r="G10" s="12" t="str">
        <f t="shared" si="0"/>
        <v/>
      </c>
      <c r="H10" s="13" t="str">
        <f t="shared" si="1"/>
        <v/>
      </c>
      <c r="I10" s="12" t="str">
        <f t="shared" si="2"/>
        <v/>
      </c>
      <c r="J10" s="12" t="str">
        <f t="shared" si="3"/>
        <v/>
      </c>
      <c r="K10" s="12" t="str">
        <f t="shared" si="4"/>
        <v/>
      </c>
      <c r="L10" s="10" t="str">
        <f>IF(Инвентаризация!C10="","",Инвентаризация!M10)</f>
        <v/>
      </c>
      <c r="M10" s="10" t="str">
        <f>IF(Инвентаризация!C10="","",Инвентаризация!N10)</f>
        <v/>
      </c>
      <c r="N10" s="10" t="str">
        <f>IF(Инвентаризация!C10="","",Инвентаризация!O10)</f>
        <v/>
      </c>
      <c r="O10" s="10" t="str">
        <f>IF(Инвентаризация!C10="","",Инвентаризация!P10)</f>
        <v/>
      </c>
      <c r="P10" s="8" t="str">
        <f>IF(Инвентаризация!C10="","",Инвентаризация!Q10)</f>
        <v/>
      </c>
    </row>
    <row r="11" spans="1:16">
      <c r="A11" s="10" t="str">
        <f>IF(Инвентаризация!C11="","",Инвентаризация!B11)</f>
        <v/>
      </c>
      <c r="B11" s="10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1" t="str">
        <f>IF(Инвентаризация!C11="","",Инвентаризация!E11)</f>
        <v/>
      </c>
      <c r="E11" s="12" t="str">
        <f>IF(Инвентаризация!C11="","",Инвентаризация!F11)</f>
        <v/>
      </c>
      <c r="F11" s="12" t="str">
        <f>IF(Инвентаризация!C11="","",Инвентаризация!G11)</f>
        <v/>
      </c>
      <c r="G11" s="12" t="str">
        <f t="shared" si="0"/>
        <v/>
      </c>
      <c r="H11" s="13" t="str">
        <f t="shared" si="1"/>
        <v/>
      </c>
      <c r="I11" s="12" t="str">
        <f t="shared" si="2"/>
        <v/>
      </c>
      <c r="J11" s="12" t="str">
        <f t="shared" si="3"/>
        <v/>
      </c>
      <c r="K11" s="12" t="str">
        <f t="shared" si="4"/>
        <v/>
      </c>
      <c r="L11" s="10" t="str">
        <f>IF(Инвентаризация!C11="","",Инвентаризация!M11)</f>
        <v/>
      </c>
      <c r="M11" s="10" t="str">
        <f>IF(Инвентаризация!C11="","",Инвентаризация!N11)</f>
        <v/>
      </c>
      <c r="N11" s="10" t="str">
        <f>IF(Инвентаризация!C11="","",Инвентаризация!O11)</f>
        <v/>
      </c>
      <c r="O11" s="10" t="str">
        <f>IF(Инвентаризация!C11="","",Инвентаризация!P11)</f>
        <v/>
      </c>
      <c r="P11" s="8" t="str">
        <f>IF(Инвентаризация!C11="","",Инвентаризация!Q11)</f>
        <v/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4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4</v>
      </c>
      <c r="D5" t="s">
        <v>34</v>
      </c>
      <c r="E5">
        <f>COUNTIFS(Инвентаризация!E2:E500,"&gt;=1",Инвентаризация!E2:E500,"&lt;=2")</f>
        <v>4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46000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46000</v>
      </c>
    </row>
    <row r="9" spans="1:5">
      <c r="A9" t="s">
        <v>40</v>
      </c>
      <c r="B9">
        <f>COUNTIF(Инвентаризация!M2:M500,"Да")</f>
        <v>4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4</v>
      </c>
    </row>
    <row r="13" spans="1:5">
      <c r="A13" t="s">
        <v>8</v>
      </c>
      <c r="B13">
        <f>COUNTIF(Инвентаризация!I2:I500,"Да")</f>
        <v>4</v>
      </c>
    </row>
    <row r="14" spans="1:5">
      <c r="A14" t="s">
        <v>9</v>
      </c>
      <c r="B14">
        <f>COUNTIF(Инвентаризация!J2:J500,"Да")</f>
        <v>4</v>
      </c>
    </row>
    <row r="15" spans="1:5">
      <c r="A15" t="s">
        <v>10</v>
      </c>
      <c r="B15">
        <f>COUNTIF(Инвентаризация!K2:K500,"Да")</f>
        <v>4</v>
      </c>
    </row>
    <row r="16" spans="1:5">
      <c r="A16" t="s">
        <v>11</v>
      </c>
      <c r="B16">
        <f>COUNTIF(Инвентаризация!L2:L500,"Да")</f>
        <v>2</v>
      </c>
    </row>
    <row r="17" spans="1:2">
      <c r="A17" t="s">
        <v>12</v>
      </c>
      <c r="B17">
        <f>COUNTIF(Инвентаризация!M2:M500,"Да")</f>
        <v>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2026-08-03T06:48:27Z</dcterms:modified>
</cp:coreProperties>
</file>