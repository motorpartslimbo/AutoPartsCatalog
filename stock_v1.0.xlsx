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Мой диск\AutoPartsCatalog\"/>
    </mc:Choice>
  </mc:AlternateContent>
  <bookViews>
    <workbookView xWindow="0" yWindow="0" windowWidth="21270" windowHeight="13020"/>
  </bookViews>
  <sheets>
    <sheet name="Инвентаризация" sheetId="1" r:id="rId1"/>
    <sheet name="Склад" sheetId="2" r:id="rId2"/>
    <sheet name="Сводка" sheetId="3" r:id="rId3"/>
  </sheets>
  <calcPr calcId="162913"/>
</workbook>
</file>

<file path=xl/calcChain.xml><?xml version="1.0" encoding="utf-8"?>
<calcChain xmlns="http://schemas.openxmlformats.org/spreadsheetml/2006/main">
  <c r="B17" i="3" l="1"/>
  <c r="B16" i="3"/>
  <c r="B15" i="3"/>
  <c r="B14" i="3"/>
  <c r="B13" i="3"/>
  <c r="B12" i="3"/>
  <c r="B9" i="3"/>
  <c r="E7" i="3"/>
  <c r="B7" i="3"/>
  <c r="E6" i="3"/>
  <c r="B6" i="3"/>
  <c r="E5" i="3"/>
  <c r="B5" i="3"/>
  <c r="E4" i="3"/>
  <c r="B4" i="3"/>
  <c r="P500" i="2"/>
  <c r="O500" i="2"/>
  <c r="N500" i="2"/>
  <c r="M500" i="2"/>
  <c r="L500" i="2"/>
  <c r="J500" i="2"/>
  <c r="G500" i="2"/>
  <c r="K500" i="2" s="1"/>
  <c r="F500" i="2"/>
  <c r="E500" i="2"/>
  <c r="I500" i="2" s="1"/>
  <c r="D500" i="2"/>
  <c r="C500" i="2"/>
  <c r="B500" i="2"/>
  <c r="A500" i="2"/>
  <c r="P499" i="2"/>
  <c r="O499" i="2"/>
  <c r="N499" i="2"/>
  <c r="M499" i="2"/>
  <c r="L499" i="2"/>
  <c r="F499" i="2"/>
  <c r="E499" i="2"/>
  <c r="G499" i="2" s="1"/>
  <c r="H499" i="2" s="1"/>
  <c r="D499" i="2"/>
  <c r="C499" i="2"/>
  <c r="B499" i="2"/>
  <c r="A499" i="2"/>
  <c r="P498" i="2"/>
  <c r="O498" i="2"/>
  <c r="N498" i="2"/>
  <c r="M498" i="2"/>
  <c r="L498" i="2"/>
  <c r="K498" i="2"/>
  <c r="F498" i="2"/>
  <c r="E498" i="2"/>
  <c r="G498" i="2" s="1"/>
  <c r="H498" i="2" s="1"/>
  <c r="D498" i="2"/>
  <c r="C498" i="2"/>
  <c r="B498" i="2"/>
  <c r="A498" i="2"/>
  <c r="P497" i="2"/>
  <c r="O497" i="2"/>
  <c r="N497" i="2"/>
  <c r="M497" i="2"/>
  <c r="L497" i="2"/>
  <c r="F497" i="2"/>
  <c r="E497" i="2"/>
  <c r="G497" i="2" s="1"/>
  <c r="H497" i="2" s="1"/>
  <c r="D497" i="2"/>
  <c r="C497" i="2"/>
  <c r="B497" i="2"/>
  <c r="A497" i="2"/>
  <c r="P496" i="2"/>
  <c r="O496" i="2"/>
  <c r="N496" i="2"/>
  <c r="M496" i="2"/>
  <c r="L496" i="2"/>
  <c r="K496" i="2"/>
  <c r="G496" i="2"/>
  <c r="H496" i="2" s="1"/>
  <c r="F496" i="2"/>
  <c r="E496" i="2"/>
  <c r="D496" i="2"/>
  <c r="I496" i="2" s="1"/>
  <c r="C496" i="2"/>
  <c r="B496" i="2"/>
  <c r="A496" i="2"/>
  <c r="P495" i="2"/>
  <c r="O495" i="2"/>
  <c r="N495" i="2"/>
  <c r="M495" i="2"/>
  <c r="L495" i="2"/>
  <c r="F495" i="2"/>
  <c r="E495" i="2"/>
  <c r="G495" i="2" s="1"/>
  <c r="H495" i="2" s="1"/>
  <c r="D495" i="2"/>
  <c r="C495" i="2"/>
  <c r="B495" i="2"/>
  <c r="A495" i="2"/>
  <c r="P494" i="2"/>
  <c r="O494" i="2"/>
  <c r="N494" i="2"/>
  <c r="M494" i="2"/>
  <c r="L494" i="2"/>
  <c r="F494" i="2"/>
  <c r="E494" i="2"/>
  <c r="D494" i="2"/>
  <c r="C494" i="2"/>
  <c r="B494" i="2"/>
  <c r="A494" i="2"/>
  <c r="P493" i="2"/>
  <c r="O493" i="2"/>
  <c r="N493" i="2"/>
  <c r="M493" i="2"/>
  <c r="L493" i="2"/>
  <c r="I493" i="2"/>
  <c r="F493" i="2"/>
  <c r="E493" i="2"/>
  <c r="G493" i="2" s="1"/>
  <c r="H493" i="2" s="1"/>
  <c r="D493" i="2"/>
  <c r="C493" i="2"/>
  <c r="B493" i="2"/>
  <c r="A493" i="2"/>
  <c r="P492" i="2"/>
  <c r="O492" i="2"/>
  <c r="N492" i="2"/>
  <c r="M492" i="2"/>
  <c r="L492" i="2"/>
  <c r="J492" i="2"/>
  <c r="I492" i="2"/>
  <c r="F492" i="2"/>
  <c r="E492" i="2"/>
  <c r="G492" i="2" s="1"/>
  <c r="K492" i="2" s="1"/>
  <c r="D492" i="2"/>
  <c r="C492" i="2"/>
  <c r="B492" i="2"/>
  <c r="A492" i="2"/>
  <c r="P491" i="2"/>
  <c r="O491" i="2"/>
  <c r="N491" i="2"/>
  <c r="M491" i="2"/>
  <c r="L491" i="2"/>
  <c r="I491" i="2"/>
  <c r="G491" i="2"/>
  <c r="H491" i="2" s="1"/>
  <c r="F491" i="2"/>
  <c r="E491" i="2"/>
  <c r="D491" i="2"/>
  <c r="C491" i="2"/>
  <c r="B491" i="2"/>
  <c r="A491" i="2"/>
  <c r="P490" i="2"/>
  <c r="O490" i="2"/>
  <c r="N490" i="2"/>
  <c r="M490" i="2"/>
  <c r="L490" i="2"/>
  <c r="G490" i="2"/>
  <c r="H490" i="2" s="1"/>
  <c r="F490" i="2"/>
  <c r="E490" i="2"/>
  <c r="D490" i="2"/>
  <c r="C490" i="2"/>
  <c r="B490" i="2"/>
  <c r="A490" i="2"/>
  <c r="P489" i="2"/>
  <c r="O489" i="2"/>
  <c r="N489" i="2"/>
  <c r="M489" i="2"/>
  <c r="L489" i="2"/>
  <c r="F489" i="2"/>
  <c r="E489" i="2"/>
  <c r="I489" i="2" s="1"/>
  <c r="D489" i="2"/>
  <c r="C489" i="2"/>
  <c r="B489" i="2"/>
  <c r="A489" i="2"/>
  <c r="P488" i="2"/>
  <c r="O488" i="2"/>
  <c r="N488" i="2"/>
  <c r="M488" i="2"/>
  <c r="L488" i="2"/>
  <c r="G488" i="2"/>
  <c r="H488" i="2" s="1"/>
  <c r="F488" i="2"/>
  <c r="E488" i="2"/>
  <c r="D488" i="2"/>
  <c r="C488" i="2"/>
  <c r="B488" i="2"/>
  <c r="A488" i="2"/>
  <c r="P487" i="2"/>
  <c r="O487" i="2"/>
  <c r="N487" i="2"/>
  <c r="M487" i="2"/>
  <c r="L487" i="2"/>
  <c r="F487" i="2"/>
  <c r="E487" i="2"/>
  <c r="G487" i="2" s="1"/>
  <c r="H487" i="2" s="1"/>
  <c r="D487" i="2"/>
  <c r="C487" i="2"/>
  <c r="B487" i="2"/>
  <c r="A487" i="2"/>
  <c r="P486" i="2"/>
  <c r="O486" i="2"/>
  <c r="N486" i="2"/>
  <c r="M486" i="2"/>
  <c r="L486" i="2"/>
  <c r="F486" i="2"/>
  <c r="E486" i="2"/>
  <c r="G486" i="2" s="1"/>
  <c r="H486" i="2" s="1"/>
  <c r="D486" i="2"/>
  <c r="C486" i="2"/>
  <c r="B486" i="2"/>
  <c r="A486" i="2"/>
  <c r="P485" i="2"/>
  <c r="O485" i="2"/>
  <c r="N485" i="2"/>
  <c r="M485" i="2"/>
  <c r="L485" i="2"/>
  <c r="F485" i="2"/>
  <c r="G485" i="2" s="1"/>
  <c r="H485" i="2" s="1"/>
  <c r="E485" i="2"/>
  <c r="I485" i="2" s="1"/>
  <c r="D485" i="2"/>
  <c r="C485" i="2"/>
  <c r="B485" i="2"/>
  <c r="A485" i="2"/>
  <c r="P484" i="2"/>
  <c r="O484" i="2"/>
  <c r="N484" i="2"/>
  <c r="M484" i="2"/>
  <c r="L484" i="2"/>
  <c r="I484" i="2"/>
  <c r="F484" i="2"/>
  <c r="G484" i="2" s="1"/>
  <c r="E484" i="2"/>
  <c r="D484" i="2"/>
  <c r="C484" i="2"/>
  <c r="B484" i="2"/>
  <c r="A484" i="2"/>
  <c r="P483" i="2"/>
  <c r="O483" i="2"/>
  <c r="N483" i="2"/>
  <c r="M483" i="2"/>
  <c r="L483" i="2"/>
  <c r="I483" i="2"/>
  <c r="F483" i="2"/>
  <c r="G483" i="2" s="1"/>
  <c r="H483" i="2" s="1"/>
  <c r="E483" i="2"/>
  <c r="D483" i="2"/>
  <c r="C483" i="2"/>
  <c r="B483" i="2"/>
  <c r="A483" i="2"/>
  <c r="P482" i="2"/>
  <c r="O482" i="2"/>
  <c r="N482" i="2"/>
  <c r="M482" i="2"/>
  <c r="L482" i="2"/>
  <c r="F482" i="2"/>
  <c r="E482" i="2"/>
  <c r="G482" i="2" s="1"/>
  <c r="H482" i="2" s="1"/>
  <c r="D482" i="2"/>
  <c r="C482" i="2"/>
  <c r="B482" i="2"/>
  <c r="A482" i="2"/>
  <c r="P481" i="2"/>
  <c r="O481" i="2"/>
  <c r="N481" i="2"/>
  <c r="M481" i="2"/>
  <c r="L481" i="2"/>
  <c r="F481" i="2"/>
  <c r="E481" i="2"/>
  <c r="G481" i="2" s="1"/>
  <c r="H481" i="2" s="1"/>
  <c r="D481" i="2"/>
  <c r="C481" i="2"/>
  <c r="B481" i="2"/>
  <c r="A481" i="2"/>
  <c r="P480" i="2"/>
  <c r="O480" i="2"/>
  <c r="N480" i="2"/>
  <c r="M480" i="2"/>
  <c r="L480" i="2"/>
  <c r="F480" i="2"/>
  <c r="E480" i="2"/>
  <c r="G480" i="2" s="1"/>
  <c r="H480" i="2" s="1"/>
  <c r="D480" i="2"/>
  <c r="C480" i="2"/>
  <c r="B480" i="2"/>
  <c r="A480" i="2"/>
  <c r="P479" i="2"/>
  <c r="O479" i="2"/>
  <c r="N479" i="2"/>
  <c r="M479" i="2"/>
  <c r="L479" i="2"/>
  <c r="I479" i="2"/>
  <c r="F479" i="2"/>
  <c r="E479" i="2"/>
  <c r="G479" i="2" s="1"/>
  <c r="H479" i="2" s="1"/>
  <c r="D479" i="2"/>
  <c r="C479" i="2"/>
  <c r="B479" i="2"/>
  <c r="A479" i="2"/>
  <c r="P478" i="2"/>
  <c r="O478" i="2"/>
  <c r="N478" i="2"/>
  <c r="M478" i="2"/>
  <c r="L478" i="2"/>
  <c r="K478" i="2"/>
  <c r="F478" i="2"/>
  <c r="E478" i="2"/>
  <c r="G478" i="2" s="1"/>
  <c r="H478" i="2" s="1"/>
  <c r="D478" i="2"/>
  <c r="J478" i="2" s="1"/>
  <c r="C478" i="2"/>
  <c r="B478" i="2"/>
  <c r="A478" i="2"/>
  <c r="P477" i="2"/>
  <c r="O477" i="2"/>
  <c r="N477" i="2"/>
  <c r="M477" i="2"/>
  <c r="L477" i="2"/>
  <c r="F477" i="2"/>
  <c r="E477" i="2"/>
  <c r="G477" i="2" s="1"/>
  <c r="H477" i="2" s="1"/>
  <c r="D477" i="2"/>
  <c r="C477" i="2"/>
  <c r="B477" i="2"/>
  <c r="A477" i="2"/>
  <c r="P476" i="2"/>
  <c r="O476" i="2"/>
  <c r="N476" i="2"/>
  <c r="M476" i="2"/>
  <c r="L476" i="2"/>
  <c r="K476" i="2"/>
  <c r="J476" i="2"/>
  <c r="I476" i="2"/>
  <c r="F476" i="2"/>
  <c r="E476" i="2"/>
  <c r="G476" i="2" s="1"/>
  <c r="H476" i="2" s="1"/>
  <c r="D476" i="2"/>
  <c r="C476" i="2"/>
  <c r="B476" i="2"/>
  <c r="A476" i="2"/>
  <c r="P475" i="2"/>
  <c r="O475" i="2"/>
  <c r="N475" i="2"/>
  <c r="M475" i="2"/>
  <c r="L475" i="2"/>
  <c r="I475" i="2"/>
  <c r="G475" i="2"/>
  <c r="H475" i="2" s="1"/>
  <c r="F475" i="2"/>
  <c r="E475" i="2"/>
  <c r="D475" i="2"/>
  <c r="C475" i="2"/>
  <c r="B475" i="2"/>
  <c r="A475" i="2"/>
  <c r="P474" i="2"/>
  <c r="O474" i="2"/>
  <c r="N474" i="2"/>
  <c r="M474" i="2"/>
  <c r="L474" i="2"/>
  <c r="J474" i="2"/>
  <c r="I474" i="2"/>
  <c r="G474" i="2"/>
  <c r="K474" i="2" s="1"/>
  <c r="F474" i="2"/>
  <c r="E474" i="2"/>
  <c r="D474" i="2"/>
  <c r="C474" i="2"/>
  <c r="B474" i="2"/>
  <c r="A474" i="2"/>
  <c r="P473" i="2"/>
  <c r="O473" i="2"/>
  <c r="N473" i="2"/>
  <c r="M473" i="2"/>
  <c r="L473" i="2"/>
  <c r="F473" i="2"/>
  <c r="E473" i="2"/>
  <c r="G473" i="2" s="1"/>
  <c r="H473" i="2" s="1"/>
  <c r="D473" i="2"/>
  <c r="C473" i="2"/>
  <c r="B473" i="2"/>
  <c r="A473" i="2"/>
  <c r="P472" i="2"/>
  <c r="O472" i="2"/>
  <c r="N472" i="2"/>
  <c r="M472" i="2"/>
  <c r="L472" i="2"/>
  <c r="H472" i="2"/>
  <c r="G472" i="2"/>
  <c r="K472" i="2" s="1"/>
  <c r="F472" i="2"/>
  <c r="J472" i="2" s="1"/>
  <c r="E472" i="2"/>
  <c r="I472" i="2" s="1"/>
  <c r="D472" i="2"/>
  <c r="C472" i="2"/>
  <c r="B472" i="2"/>
  <c r="A472" i="2"/>
  <c r="P471" i="2"/>
  <c r="O471" i="2"/>
  <c r="N471" i="2"/>
  <c r="M471" i="2"/>
  <c r="L471" i="2"/>
  <c r="H471" i="2"/>
  <c r="F471" i="2"/>
  <c r="E471" i="2"/>
  <c r="G471" i="2" s="1"/>
  <c r="D471" i="2"/>
  <c r="C471" i="2"/>
  <c r="B471" i="2"/>
  <c r="A471" i="2"/>
  <c r="P470" i="2"/>
  <c r="O470" i="2"/>
  <c r="N470" i="2"/>
  <c r="M470" i="2"/>
  <c r="L470" i="2"/>
  <c r="F470" i="2"/>
  <c r="E470" i="2"/>
  <c r="G470" i="2" s="1"/>
  <c r="H470" i="2" s="1"/>
  <c r="D470" i="2"/>
  <c r="C470" i="2"/>
  <c r="B470" i="2"/>
  <c r="A470" i="2"/>
  <c r="P469" i="2"/>
  <c r="O469" i="2"/>
  <c r="N469" i="2"/>
  <c r="M469" i="2"/>
  <c r="L469" i="2"/>
  <c r="I469" i="2"/>
  <c r="F469" i="2"/>
  <c r="E469" i="2"/>
  <c r="G469" i="2" s="1"/>
  <c r="H469" i="2" s="1"/>
  <c r="D469" i="2"/>
  <c r="C469" i="2"/>
  <c r="B469" i="2"/>
  <c r="A469" i="2"/>
  <c r="P468" i="2"/>
  <c r="O468" i="2"/>
  <c r="N468" i="2"/>
  <c r="M468" i="2"/>
  <c r="L468" i="2"/>
  <c r="K468" i="2"/>
  <c r="J468" i="2"/>
  <c r="I468" i="2"/>
  <c r="H468" i="2"/>
  <c r="F468" i="2"/>
  <c r="E468" i="2"/>
  <c r="G468" i="2" s="1"/>
  <c r="D468" i="2"/>
  <c r="C468" i="2"/>
  <c r="B468" i="2"/>
  <c r="A468" i="2"/>
  <c r="P467" i="2"/>
  <c r="O467" i="2"/>
  <c r="N467" i="2"/>
  <c r="M467" i="2"/>
  <c r="L467" i="2"/>
  <c r="F467" i="2"/>
  <c r="E467" i="2"/>
  <c r="G467" i="2" s="1"/>
  <c r="H467" i="2" s="1"/>
  <c r="D467" i="2"/>
  <c r="C467" i="2"/>
  <c r="B467" i="2"/>
  <c r="A467" i="2"/>
  <c r="P466" i="2"/>
  <c r="O466" i="2"/>
  <c r="N466" i="2"/>
  <c r="M466" i="2"/>
  <c r="L466" i="2"/>
  <c r="K466" i="2"/>
  <c r="I466" i="2"/>
  <c r="H466" i="2"/>
  <c r="F466" i="2"/>
  <c r="J466" i="2" s="1"/>
  <c r="E466" i="2"/>
  <c r="G466" i="2" s="1"/>
  <c r="D466" i="2"/>
  <c r="C466" i="2"/>
  <c r="B466" i="2"/>
  <c r="A466" i="2"/>
  <c r="P465" i="2"/>
  <c r="O465" i="2"/>
  <c r="N465" i="2"/>
  <c r="M465" i="2"/>
  <c r="L465" i="2"/>
  <c r="G465" i="2"/>
  <c r="H465" i="2" s="1"/>
  <c r="F465" i="2"/>
  <c r="E465" i="2"/>
  <c r="D465" i="2"/>
  <c r="C465" i="2"/>
  <c r="B465" i="2"/>
  <c r="A465" i="2"/>
  <c r="P464" i="2"/>
  <c r="O464" i="2"/>
  <c r="N464" i="2"/>
  <c r="M464" i="2"/>
  <c r="L464" i="2"/>
  <c r="F464" i="2"/>
  <c r="E464" i="2"/>
  <c r="G464" i="2" s="1"/>
  <c r="H464" i="2" s="1"/>
  <c r="D464" i="2"/>
  <c r="C464" i="2"/>
  <c r="B464" i="2"/>
  <c r="A464" i="2"/>
  <c r="P463" i="2"/>
  <c r="O463" i="2"/>
  <c r="N463" i="2"/>
  <c r="M463" i="2"/>
  <c r="L463" i="2"/>
  <c r="F463" i="2"/>
  <c r="E463" i="2"/>
  <c r="G463" i="2" s="1"/>
  <c r="H463" i="2" s="1"/>
  <c r="D463" i="2"/>
  <c r="C463" i="2"/>
  <c r="B463" i="2"/>
  <c r="A463" i="2"/>
  <c r="P462" i="2"/>
  <c r="O462" i="2"/>
  <c r="N462" i="2"/>
  <c r="M462" i="2"/>
  <c r="L462" i="2"/>
  <c r="F462" i="2"/>
  <c r="E462" i="2"/>
  <c r="G462" i="2" s="1"/>
  <c r="H462" i="2" s="1"/>
  <c r="D462" i="2"/>
  <c r="J462" i="2" s="1"/>
  <c r="C462" i="2"/>
  <c r="B462" i="2"/>
  <c r="A462" i="2"/>
  <c r="P461" i="2"/>
  <c r="O461" i="2"/>
  <c r="N461" i="2"/>
  <c r="M461" i="2"/>
  <c r="L461" i="2"/>
  <c r="I461" i="2"/>
  <c r="F461" i="2"/>
  <c r="E461" i="2"/>
  <c r="G461" i="2" s="1"/>
  <c r="H461" i="2" s="1"/>
  <c r="D461" i="2"/>
  <c r="C461" i="2"/>
  <c r="B461" i="2"/>
  <c r="A461" i="2"/>
  <c r="P460" i="2"/>
  <c r="O460" i="2"/>
  <c r="N460" i="2"/>
  <c r="M460" i="2"/>
  <c r="L460" i="2"/>
  <c r="F460" i="2"/>
  <c r="J460" i="2" s="1"/>
  <c r="E460" i="2"/>
  <c r="D460" i="2"/>
  <c r="C460" i="2"/>
  <c r="B460" i="2"/>
  <c r="A460" i="2"/>
  <c r="P459" i="2"/>
  <c r="O459" i="2"/>
  <c r="N459" i="2"/>
  <c r="M459" i="2"/>
  <c r="L459" i="2"/>
  <c r="I459" i="2"/>
  <c r="H459" i="2"/>
  <c r="G459" i="2"/>
  <c r="F459" i="2"/>
  <c r="E459" i="2"/>
  <c r="D459" i="2"/>
  <c r="C459" i="2"/>
  <c r="B459" i="2"/>
  <c r="A459" i="2"/>
  <c r="P458" i="2"/>
  <c r="O458" i="2"/>
  <c r="N458" i="2"/>
  <c r="M458" i="2"/>
  <c r="L458" i="2"/>
  <c r="F458" i="2"/>
  <c r="E458" i="2"/>
  <c r="G458" i="2" s="1"/>
  <c r="H458" i="2" s="1"/>
  <c r="D458" i="2"/>
  <c r="C458" i="2"/>
  <c r="B458" i="2"/>
  <c r="A458" i="2"/>
  <c r="P457" i="2"/>
  <c r="O457" i="2"/>
  <c r="N457" i="2"/>
  <c r="M457" i="2"/>
  <c r="L457" i="2"/>
  <c r="F457" i="2"/>
  <c r="E457" i="2"/>
  <c r="D457" i="2"/>
  <c r="C457" i="2"/>
  <c r="B457" i="2"/>
  <c r="A457" i="2"/>
  <c r="P456" i="2"/>
  <c r="O456" i="2"/>
  <c r="N456" i="2"/>
  <c r="M456" i="2"/>
  <c r="L456" i="2"/>
  <c r="I456" i="2"/>
  <c r="G456" i="2"/>
  <c r="H456" i="2" s="1"/>
  <c r="F456" i="2"/>
  <c r="E456" i="2"/>
  <c r="D456" i="2"/>
  <c r="K456" i="2" s="1"/>
  <c r="C456" i="2"/>
  <c r="B456" i="2"/>
  <c r="A456" i="2"/>
  <c r="P455" i="2"/>
  <c r="O455" i="2"/>
  <c r="N455" i="2"/>
  <c r="M455" i="2"/>
  <c r="L455" i="2"/>
  <c r="G455" i="2"/>
  <c r="H455" i="2" s="1"/>
  <c r="F455" i="2"/>
  <c r="E455" i="2"/>
  <c r="D455" i="2"/>
  <c r="C455" i="2"/>
  <c r="B455" i="2"/>
  <c r="A455" i="2"/>
  <c r="P454" i="2"/>
  <c r="O454" i="2"/>
  <c r="N454" i="2"/>
  <c r="M454" i="2"/>
  <c r="L454" i="2"/>
  <c r="F454" i="2"/>
  <c r="E454" i="2"/>
  <c r="G454" i="2" s="1"/>
  <c r="H454" i="2" s="1"/>
  <c r="D454" i="2"/>
  <c r="C454" i="2"/>
  <c r="B454" i="2"/>
  <c r="A454" i="2"/>
  <c r="P453" i="2"/>
  <c r="O453" i="2"/>
  <c r="N453" i="2"/>
  <c r="M453" i="2"/>
  <c r="L453" i="2"/>
  <c r="H453" i="2"/>
  <c r="F453" i="2"/>
  <c r="E453" i="2"/>
  <c r="G453" i="2" s="1"/>
  <c r="D453" i="2"/>
  <c r="C453" i="2"/>
  <c r="B453" i="2"/>
  <c r="A453" i="2"/>
  <c r="P452" i="2"/>
  <c r="O452" i="2"/>
  <c r="N452" i="2"/>
  <c r="M452" i="2"/>
  <c r="L452" i="2"/>
  <c r="I452" i="2"/>
  <c r="F452" i="2"/>
  <c r="G452" i="2" s="1"/>
  <c r="H452" i="2" s="1"/>
  <c r="E452" i="2"/>
  <c r="D452" i="2"/>
  <c r="C452" i="2"/>
  <c r="B452" i="2"/>
  <c r="A452" i="2"/>
  <c r="P451" i="2"/>
  <c r="O451" i="2"/>
  <c r="N451" i="2"/>
  <c r="M451" i="2"/>
  <c r="L451" i="2"/>
  <c r="H451" i="2"/>
  <c r="F451" i="2"/>
  <c r="E451" i="2"/>
  <c r="G451" i="2" s="1"/>
  <c r="D451" i="2"/>
  <c r="C451" i="2"/>
  <c r="B451" i="2"/>
  <c r="A451" i="2"/>
  <c r="P450" i="2"/>
  <c r="O450" i="2"/>
  <c r="N450" i="2"/>
  <c r="M450" i="2"/>
  <c r="L450" i="2"/>
  <c r="I450" i="2"/>
  <c r="F450" i="2"/>
  <c r="E450" i="2"/>
  <c r="G450" i="2" s="1"/>
  <c r="H450" i="2" s="1"/>
  <c r="D450" i="2"/>
  <c r="C450" i="2"/>
  <c r="B450" i="2"/>
  <c r="A450" i="2"/>
  <c r="P449" i="2"/>
  <c r="O449" i="2"/>
  <c r="N449" i="2"/>
  <c r="M449" i="2"/>
  <c r="L449" i="2"/>
  <c r="G449" i="2"/>
  <c r="H449" i="2" s="1"/>
  <c r="F449" i="2"/>
  <c r="E449" i="2"/>
  <c r="D449" i="2"/>
  <c r="C449" i="2"/>
  <c r="B449" i="2"/>
  <c r="A449" i="2"/>
  <c r="P448" i="2"/>
  <c r="O448" i="2"/>
  <c r="N448" i="2"/>
  <c r="M448" i="2"/>
  <c r="L448" i="2"/>
  <c r="F448" i="2"/>
  <c r="E448" i="2"/>
  <c r="G448" i="2" s="1"/>
  <c r="H448" i="2" s="1"/>
  <c r="D448" i="2"/>
  <c r="C448" i="2"/>
  <c r="B448" i="2"/>
  <c r="A448" i="2"/>
  <c r="P447" i="2"/>
  <c r="O447" i="2"/>
  <c r="N447" i="2"/>
  <c r="M447" i="2"/>
  <c r="L447" i="2"/>
  <c r="I447" i="2"/>
  <c r="G447" i="2"/>
  <c r="H447" i="2" s="1"/>
  <c r="F447" i="2"/>
  <c r="E447" i="2"/>
  <c r="D447" i="2"/>
  <c r="C447" i="2"/>
  <c r="B447" i="2"/>
  <c r="A447" i="2"/>
  <c r="P446" i="2"/>
  <c r="O446" i="2"/>
  <c r="N446" i="2"/>
  <c r="M446" i="2"/>
  <c r="L446" i="2"/>
  <c r="F446" i="2"/>
  <c r="E446" i="2"/>
  <c r="G446" i="2" s="1"/>
  <c r="D446" i="2"/>
  <c r="J446" i="2" s="1"/>
  <c r="C446" i="2"/>
  <c r="B446" i="2"/>
  <c r="A446" i="2"/>
  <c r="P445" i="2"/>
  <c r="O445" i="2"/>
  <c r="N445" i="2"/>
  <c r="M445" i="2"/>
  <c r="L445" i="2"/>
  <c r="F445" i="2"/>
  <c r="E445" i="2"/>
  <c r="G445" i="2" s="1"/>
  <c r="H445" i="2" s="1"/>
  <c r="D445" i="2"/>
  <c r="C445" i="2"/>
  <c r="B445" i="2"/>
  <c r="A445" i="2"/>
  <c r="P444" i="2"/>
  <c r="O444" i="2"/>
  <c r="N444" i="2"/>
  <c r="M444" i="2"/>
  <c r="L444" i="2"/>
  <c r="J444" i="2"/>
  <c r="I444" i="2"/>
  <c r="F444" i="2"/>
  <c r="E444" i="2"/>
  <c r="G444" i="2" s="1"/>
  <c r="D444" i="2"/>
  <c r="C444" i="2"/>
  <c r="B444" i="2"/>
  <c r="A444" i="2"/>
  <c r="P443" i="2"/>
  <c r="O443" i="2"/>
  <c r="N443" i="2"/>
  <c r="M443" i="2"/>
  <c r="L443" i="2"/>
  <c r="I443" i="2"/>
  <c r="F443" i="2"/>
  <c r="G443" i="2" s="1"/>
  <c r="H443" i="2" s="1"/>
  <c r="E443" i="2"/>
  <c r="D443" i="2"/>
  <c r="C443" i="2"/>
  <c r="B443" i="2"/>
  <c r="A443" i="2"/>
  <c r="P442" i="2"/>
  <c r="O442" i="2"/>
  <c r="N442" i="2"/>
  <c r="M442" i="2"/>
  <c r="L442" i="2"/>
  <c r="K442" i="2"/>
  <c r="J442" i="2"/>
  <c r="I442" i="2"/>
  <c r="G442" i="2"/>
  <c r="H442" i="2" s="1"/>
  <c r="F442" i="2"/>
  <c r="E442" i="2"/>
  <c r="D442" i="2"/>
  <c r="C442" i="2"/>
  <c r="B442" i="2"/>
  <c r="A442" i="2"/>
  <c r="P441" i="2"/>
  <c r="O441" i="2"/>
  <c r="N441" i="2"/>
  <c r="M441" i="2"/>
  <c r="L441" i="2"/>
  <c r="F441" i="2"/>
  <c r="G441" i="2" s="1"/>
  <c r="H441" i="2" s="1"/>
  <c r="E441" i="2"/>
  <c r="D441" i="2"/>
  <c r="C441" i="2"/>
  <c r="B441" i="2"/>
  <c r="A441" i="2"/>
  <c r="P440" i="2"/>
  <c r="O440" i="2"/>
  <c r="N440" i="2"/>
  <c r="M440" i="2"/>
  <c r="L440" i="2"/>
  <c r="K440" i="2"/>
  <c r="J440" i="2"/>
  <c r="I440" i="2"/>
  <c r="G440" i="2"/>
  <c r="H440" i="2" s="1"/>
  <c r="F440" i="2"/>
  <c r="E440" i="2"/>
  <c r="D440" i="2"/>
  <c r="C440" i="2"/>
  <c r="B440" i="2"/>
  <c r="A440" i="2"/>
  <c r="P439" i="2"/>
  <c r="O439" i="2"/>
  <c r="N439" i="2"/>
  <c r="M439" i="2"/>
  <c r="L439" i="2"/>
  <c r="F439" i="2"/>
  <c r="E439" i="2"/>
  <c r="G439" i="2" s="1"/>
  <c r="H439" i="2" s="1"/>
  <c r="D439" i="2"/>
  <c r="C439" i="2"/>
  <c r="B439" i="2"/>
  <c r="A439" i="2"/>
  <c r="P438" i="2"/>
  <c r="O438" i="2"/>
  <c r="N438" i="2"/>
  <c r="M438" i="2"/>
  <c r="L438" i="2"/>
  <c r="J438" i="2"/>
  <c r="H438" i="2"/>
  <c r="F438" i="2"/>
  <c r="E438" i="2"/>
  <c r="G438" i="2" s="1"/>
  <c r="K438" i="2" s="1"/>
  <c r="D438" i="2"/>
  <c r="C438" i="2"/>
  <c r="B438" i="2"/>
  <c r="A438" i="2"/>
  <c r="P437" i="2"/>
  <c r="O437" i="2"/>
  <c r="N437" i="2"/>
  <c r="M437" i="2"/>
  <c r="L437" i="2"/>
  <c r="F437" i="2"/>
  <c r="E437" i="2"/>
  <c r="D437" i="2"/>
  <c r="C437" i="2"/>
  <c r="B437" i="2"/>
  <c r="A437" i="2"/>
  <c r="P436" i="2"/>
  <c r="O436" i="2"/>
  <c r="N436" i="2"/>
  <c r="M436" i="2"/>
  <c r="L436" i="2"/>
  <c r="I436" i="2"/>
  <c r="F436" i="2"/>
  <c r="G436" i="2" s="1"/>
  <c r="H436" i="2" s="1"/>
  <c r="E436" i="2"/>
  <c r="D436" i="2"/>
  <c r="C436" i="2"/>
  <c r="B436" i="2"/>
  <c r="A436" i="2"/>
  <c r="P435" i="2"/>
  <c r="O435" i="2"/>
  <c r="N435" i="2"/>
  <c r="M435" i="2"/>
  <c r="L435" i="2"/>
  <c r="F435" i="2"/>
  <c r="E435" i="2"/>
  <c r="G435" i="2" s="1"/>
  <c r="H435" i="2" s="1"/>
  <c r="D435" i="2"/>
  <c r="C435" i="2"/>
  <c r="B435" i="2"/>
  <c r="A435" i="2"/>
  <c r="P434" i="2"/>
  <c r="O434" i="2"/>
  <c r="N434" i="2"/>
  <c r="M434" i="2"/>
  <c r="L434" i="2"/>
  <c r="G434" i="2"/>
  <c r="H434" i="2" s="1"/>
  <c r="F434" i="2"/>
  <c r="E434" i="2"/>
  <c r="D434" i="2"/>
  <c r="C434" i="2"/>
  <c r="B434" i="2"/>
  <c r="A434" i="2"/>
  <c r="P433" i="2"/>
  <c r="O433" i="2"/>
  <c r="N433" i="2"/>
  <c r="M433" i="2"/>
  <c r="L433" i="2"/>
  <c r="G433" i="2"/>
  <c r="H433" i="2" s="1"/>
  <c r="F433" i="2"/>
  <c r="E433" i="2"/>
  <c r="D433" i="2"/>
  <c r="C433" i="2"/>
  <c r="B433" i="2"/>
  <c r="A433" i="2"/>
  <c r="P432" i="2"/>
  <c r="O432" i="2"/>
  <c r="N432" i="2"/>
  <c r="M432" i="2"/>
  <c r="L432" i="2"/>
  <c r="J432" i="2"/>
  <c r="I432" i="2"/>
  <c r="H432" i="2"/>
  <c r="F432" i="2"/>
  <c r="E432" i="2"/>
  <c r="G432" i="2" s="1"/>
  <c r="K432" i="2" s="1"/>
  <c r="D432" i="2"/>
  <c r="C432" i="2"/>
  <c r="B432" i="2"/>
  <c r="A432" i="2"/>
  <c r="P431" i="2"/>
  <c r="O431" i="2"/>
  <c r="N431" i="2"/>
  <c r="M431" i="2"/>
  <c r="L431" i="2"/>
  <c r="F431" i="2"/>
  <c r="E431" i="2"/>
  <c r="G431" i="2" s="1"/>
  <c r="H431" i="2" s="1"/>
  <c r="D431" i="2"/>
  <c r="C431" i="2"/>
  <c r="B431" i="2"/>
  <c r="A431" i="2"/>
  <c r="P430" i="2"/>
  <c r="O430" i="2"/>
  <c r="N430" i="2"/>
  <c r="M430" i="2"/>
  <c r="L430" i="2"/>
  <c r="I430" i="2"/>
  <c r="G430" i="2"/>
  <c r="H430" i="2" s="1"/>
  <c r="F430" i="2"/>
  <c r="E430" i="2"/>
  <c r="D430" i="2"/>
  <c r="C430" i="2"/>
  <c r="B430" i="2"/>
  <c r="A430" i="2"/>
  <c r="P429" i="2"/>
  <c r="O429" i="2"/>
  <c r="N429" i="2"/>
  <c r="M429" i="2"/>
  <c r="L429" i="2"/>
  <c r="I429" i="2"/>
  <c r="F429" i="2"/>
  <c r="E429" i="2"/>
  <c r="G429" i="2" s="1"/>
  <c r="H429" i="2" s="1"/>
  <c r="D429" i="2"/>
  <c r="C429" i="2"/>
  <c r="B429" i="2"/>
  <c r="A429" i="2"/>
  <c r="P428" i="2"/>
  <c r="O428" i="2"/>
  <c r="N428" i="2"/>
  <c r="M428" i="2"/>
  <c r="L428" i="2"/>
  <c r="I428" i="2"/>
  <c r="H428" i="2"/>
  <c r="F428" i="2"/>
  <c r="E428" i="2"/>
  <c r="G428" i="2" s="1"/>
  <c r="D428" i="2"/>
  <c r="C428" i="2"/>
  <c r="B428" i="2"/>
  <c r="A428" i="2"/>
  <c r="P427" i="2"/>
  <c r="O427" i="2"/>
  <c r="N427" i="2"/>
  <c r="M427" i="2"/>
  <c r="L427" i="2"/>
  <c r="I427" i="2"/>
  <c r="H427" i="2"/>
  <c r="G427" i="2"/>
  <c r="F427" i="2"/>
  <c r="E427" i="2"/>
  <c r="D427" i="2"/>
  <c r="C427" i="2"/>
  <c r="B427" i="2"/>
  <c r="A427" i="2"/>
  <c r="P426" i="2"/>
  <c r="O426" i="2"/>
  <c r="N426" i="2"/>
  <c r="M426" i="2"/>
  <c r="L426" i="2"/>
  <c r="K426" i="2"/>
  <c r="J426" i="2"/>
  <c r="G426" i="2"/>
  <c r="H426" i="2" s="1"/>
  <c r="F426" i="2"/>
  <c r="E426" i="2"/>
  <c r="D426" i="2"/>
  <c r="I426" i="2" s="1"/>
  <c r="C426" i="2"/>
  <c r="B426" i="2"/>
  <c r="A426" i="2"/>
  <c r="P425" i="2"/>
  <c r="O425" i="2"/>
  <c r="N425" i="2"/>
  <c r="M425" i="2"/>
  <c r="L425" i="2"/>
  <c r="F425" i="2"/>
  <c r="E425" i="2"/>
  <c r="D425" i="2"/>
  <c r="C425" i="2"/>
  <c r="B425" i="2"/>
  <c r="A425" i="2"/>
  <c r="P424" i="2"/>
  <c r="O424" i="2"/>
  <c r="N424" i="2"/>
  <c r="M424" i="2"/>
  <c r="L424" i="2"/>
  <c r="F424" i="2"/>
  <c r="E424" i="2"/>
  <c r="G424" i="2" s="1"/>
  <c r="H424" i="2" s="1"/>
  <c r="D424" i="2"/>
  <c r="K424" i="2" s="1"/>
  <c r="C424" i="2"/>
  <c r="B424" i="2"/>
  <c r="A424" i="2"/>
  <c r="P423" i="2"/>
  <c r="O423" i="2"/>
  <c r="N423" i="2"/>
  <c r="M423" i="2"/>
  <c r="L423" i="2"/>
  <c r="F423" i="2"/>
  <c r="E423" i="2"/>
  <c r="G423" i="2" s="1"/>
  <c r="H423" i="2" s="1"/>
  <c r="D423" i="2"/>
  <c r="C423" i="2"/>
  <c r="B423" i="2"/>
  <c r="A423" i="2"/>
  <c r="P422" i="2"/>
  <c r="O422" i="2"/>
  <c r="N422" i="2"/>
  <c r="M422" i="2"/>
  <c r="L422" i="2"/>
  <c r="I422" i="2"/>
  <c r="H422" i="2"/>
  <c r="F422" i="2"/>
  <c r="E422" i="2"/>
  <c r="G422" i="2" s="1"/>
  <c r="K422" i="2" s="1"/>
  <c r="D422" i="2"/>
  <c r="C422" i="2"/>
  <c r="B422" i="2"/>
  <c r="A422" i="2"/>
  <c r="P421" i="2"/>
  <c r="O421" i="2"/>
  <c r="N421" i="2"/>
  <c r="M421" i="2"/>
  <c r="L421" i="2"/>
  <c r="I421" i="2"/>
  <c r="G421" i="2"/>
  <c r="H421" i="2" s="1"/>
  <c r="F421" i="2"/>
  <c r="E421" i="2"/>
  <c r="D421" i="2"/>
  <c r="C421" i="2"/>
  <c r="B421" i="2"/>
  <c r="A421" i="2"/>
  <c r="P420" i="2"/>
  <c r="O420" i="2"/>
  <c r="N420" i="2"/>
  <c r="M420" i="2"/>
  <c r="L420" i="2"/>
  <c r="F420" i="2"/>
  <c r="E420" i="2"/>
  <c r="G420" i="2" s="1"/>
  <c r="H420" i="2" s="1"/>
  <c r="D420" i="2"/>
  <c r="C420" i="2"/>
  <c r="B420" i="2"/>
  <c r="A420" i="2"/>
  <c r="P419" i="2"/>
  <c r="O419" i="2"/>
  <c r="N419" i="2"/>
  <c r="M419" i="2"/>
  <c r="L419" i="2"/>
  <c r="I419" i="2"/>
  <c r="H419" i="2"/>
  <c r="G419" i="2"/>
  <c r="F419" i="2"/>
  <c r="E419" i="2"/>
  <c r="D419" i="2"/>
  <c r="C419" i="2"/>
  <c r="B419" i="2"/>
  <c r="A419" i="2"/>
  <c r="P418" i="2"/>
  <c r="O418" i="2"/>
  <c r="N418" i="2"/>
  <c r="M418" i="2"/>
  <c r="L418" i="2"/>
  <c r="F418" i="2"/>
  <c r="E418" i="2"/>
  <c r="G418" i="2" s="1"/>
  <c r="H418" i="2" s="1"/>
  <c r="D418" i="2"/>
  <c r="C418" i="2"/>
  <c r="B418" i="2"/>
  <c r="A418" i="2"/>
  <c r="P417" i="2"/>
  <c r="O417" i="2"/>
  <c r="N417" i="2"/>
  <c r="M417" i="2"/>
  <c r="L417" i="2"/>
  <c r="G417" i="2"/>
  <c r="H417" i="2" s="1"/>
  <c r="F417" i="2"/>
  <c r="E417" i="2"/>
  <c r="D417" i="2"/>
  <c r="C417" i="2"/>
  <c r="B417" i="2"/>
  <c r="A417" i="2"/>
  <c r="P416" i="2"/>
  <c r="O416" i="2"/>
  <c r="N416" i="2"/>
  <c r="M416" i="2"/>
  <c r="L416" i="2"/>
  <c r="F416" i="2"/>
  <c r="E416" i="2"/>
  <c r="G416" i="2" s="1"/>
  <c r="H416" i="2" s="1"/>
  <c r="D416" i="2"/>
  <c r="C416" i="2"/>
  <c r="B416" i="2"/>
  <c r="A416" i="2"/>
  <c r="P415" i="2"/>
  <c r="O415" i="2"/>
  <c r="N415" i="2"/>
  <c r="M415" i="2"/>
  <c r="L415" i="2"/>
  <c r="H415" i="2"/>
  <c r="F415" i="2"/>
  <c r="E415" i="2"/>
  <c r="G415" i="2" s="1"/>
  <c r="D415" i="2"/>
  <c r="C415" i="2"/>
  <c r="B415" i="2"/>
  <c r="A415" i="2"/>
  <c r="P414" i="2"/>
  <c r="O414" i="2"/>
  <c r="N414" i="2"/>
  <c r="M414" i="2"/>
  <c r="L414" i="2"/>
  <c r="K414" i="2"/>
  <c r="F414" i="2"/>
  <c r="E414" i="2"/>
  <c r="G414" i="2" s="1"/>
  <c r="H414" i="2" s="1"/>
  <c r="D414" i="2"/>
  <c r="J414" i="2" s="1"/>
  <c r="C414" i="2"/>
  <c r="B414" i="2"/>
  <c r="A414" i="2"/>
  <c r="P413" i="2"/>
  <c r="O413" i="2"/>
  <c r="N413" i="2"/>
  <c r="M413" i="2"/>
  <c r="L413" i="2"/>
  <c r="I413" i="2"/>
  <c r="H413" i="2"/>
  <c r="G413" i="2"/>
  <c r="F413" i="2"/>
  <c r="E413" i="2"/>
  <c r="D413" i="2"/>
  <c r="C413" i="2"/>
  <c r="B413" i="2"/>
  <c r="A413" i="2"/>
  <c r="P412" i="2"/>
  <c r="O412" i="2"/>
  <c r="N412" i="2"/>
  <c r="M412" i="2"/>
  <c r="L412" i="2"/>
  <c r="J412" i="2"/>
  <c r="I412" i="2"/>
  <c r="F412" i="2"/>
  <c r="E412" i="2"/>
  <c r="G412" i="2" s="1"/>
  <c r="D412" i="2"/>
  <c r="C412" i="2"/>
  <c r="B412" i="2"/>
  <c r="A412" i="2"/>
  <c r="P411" i="2"/>
  <c r="O411" i="2"/>
  <c r="N411" i="2"/>
  <c r="M411" i="2"/>
  <c r="L411" i="2"/>
  <c r="F411" i="2"/>
  <c r="E411" i="2"/>
  <c r="G411" i="2" s="1"/>
  <c r="H411" i="2" s="1"/>
  <c r="D411" i="2"/>
  <c r="C411" i="2"/>
  <c r="B411" i="2"/>
  <c r="A411" i="2"/>
  <c r="P410" i="2"/>
  <c r="O410" i="2"/>
  <c r="N410" i="2"/>
  <c r="M410" i="2"/>
  <c r="L410" i="2"/>
  <c r="K410" i="2"/>
  <c r="J410" i="2"/>
  <c r="I410" i="2"/>
  <c r="G410" i="2"/>
  <c r="H410" i="2" s="1"/>
  <c r="F410" i="2"/>
  <c r="E410" i="2"/>
  <c r="D410" i="2"/>
  <c r="C410" i="2"/>
  <c r="B410" i="2"/>
  <c r="A410" i="2"/>
  <c r="P409" i="2"/>
  <c r="O409" i="2"/>
  <c r="N409" i="2"/>
  <c r="M409" i="2"/>
  <c r="L409" i="2"/>
  <c r="F409" i="2"/>
  <c r="E409" i="2"/>
  <c r="G409" i="2" s="1"/>
  <c r="H409" i="2" s="1"/>
  <c r="D409" i="2"/>
  <c r="C409" i="2"/>
  <c r="B409" i="2"/>
  <c r="A409" i="2"/>
  <c r="P408" i="2"/>
  <c r="O408" i="2"/>
  <c r="N408" i="2"/>
  <c r="M408" i="2"/>
  <c r="L408" i="2"/>
  <c r="J408" i="2"/>
  <c r="H408" i="2"/>
  <c r="F408" i="2"/>
  <c r="E408" i="2"/>
  <c r="G408" i="2" s="1"/>
  <c r="K408" i="2" s="1"/>
  <c r="D408" i="2"/>
  <c r="C408" i="2"/>
  <c r="B408" i="2"/>
  <c r="A408" i="2"/>
  <c r="P407" i="2"/>
  <c r="O407" i="2"/>
  <c r="N407" i="2"/>
  <c r="M407" i="2"/>
  <c r="L407" i="2"/>
  <c r="F407" i="2"/>
  <c r="G407" i="2" s="1"/>
  <c r="H407" i="2" s="1"/>
  <c r="E407" i="2"/>
  <c r="D407" i="2"/>
  <c r="C407" i="2"/>
  <c r="B407" i="2"/>
  <c r="A407" i="2"/>
  <c r="P406" i="2"/>
  <c r="O406" i="2"/>
  <c r="N406" i="2"/>
  <c r="M406" i="2"/>
  <c r="L406" i="2"/>
  <c r="J406" i="2"/>
  <c r="I406" i="2"/>
  <c r="H406" i="2"/>
  <c r="G406" i="2"/>
  <c r="K406" i="2" s="1"/>
  <c r="F406" i="2"/>
  <c r="E406" i="2"/>
  <c r="D406" i="2"/>
  <c r="C406" i="2"/>
  <c r="B406" i="2"/>
  <c r="A406" i="2"/>
  <c r="P405" i="2"/>
  <c r="O405" i="2"/>
  <c r="N405" i="2"/>
  <c r="M405" i="2"/>
  <c r="L405" i="2"/>
  <c r="I405" i="2"/>
  <c r="F405" i="2"/>
  <c r="G405" i="2" s="1"/>
  <c r="H405" i="2" s="1"/>
  <c r="E405" i="2"/>
  <c r="D405" i="2"/>
  <c r="C405" i="2"/>
  <c r="B405" i="2"/>
  <c r="A405" i="2"/>
  <c r="P404" i="2"/>
  <c r="O404" i="2"/>
  <c r="N404" i="2"/>
  <c r="M404" i="2"/>
  <c r="L404" i="2"/>
  <c r="F404" i="2"/>
  <c r="E404" i="2"/>
  <c r="D404" i="2"/>
  <c r="C404" i="2"/>
  <c r="B404" i="2"/>
  <c r="A404" i="2"/>
  <c r="P403" i="2"/>
  <c r="O403" i="2"/>
  <c r="N403" i="2"/>
  <c r="M403" i="2"/>
  <c r="L403" i="2"/>
  <c r="F403" i="2"/>
  <c r="E403" i="2"/>
  <c r="G403" i="2" s="1"/>
  <c r="H403" i="2" s="1"/>
  <c r="D403" i="2"/>
  <c r="C403" i="2"/>
  <c r="B403" i="2"/>
  <c r="A403" i="2"/>
  <c r="P402" i="2"/>
  <c r="O402" i="2"/>
  <c r="N402" i="2"/>
  <c r="M402" i="2"/>
  <c r="L402" i="2"/>
  <c r="K402" i="2"/>
  <c r="J402" i="2"/>
  <c r="I402" i="2"/>
  <c r="G402" i="2"/>
  <c r="H402" i="2" s="1"/>
  <c r="F402" i="2"/>
  <c r="E402" i="2"/>
  <c r="D402" i="2"/>
  <c r="C402" i="2"/>
  <c r="B402" i="2"/>
  <c r="A402" i="2"/>
  <c r="P401" i="2"/>
  <c r="O401" i="2"/>
  <c r="N401" i="2"/>
  <c r="M401" i="2"/>
  <c r="L401" i="2"/>
  <c r="F401" i="2"/>
  <c r="E401" i="2"/>
  <c r="G401" i="2" s="1"/>
  <c r="H401" i="2" s="1"/>
  <c r="D401" i="2"/>
  <c r="C401" i="2"/>
  <c r="B401" i="2"/>
  <c r="A401" i="2"/>
  <c r="P400" i="2"/>
  <c r="O400" i="2"/>
  <c r="N400" i="2"/>
  <c r="M400" i="2"/>
  <c r="L400" i="2"/>
  <c r="F400" i="2"/>
  <c r="E400" i="2"/>
  <c r="D400" i="2"/>
  <c r="C400" i="2"/>
  <c r="B400" i="2"/>
  <c r="A400" i="2"/>
  <c r="P399" i="2"/>
  <c r="O399" i="2"/>
  <c r="N399" i="2"/>
  <c r="M399" i="2"/>
  <c r="L399" i="2"/>
  <c r="F399" i="2"/>
  <c r="E399" i="2"/>
  <c r="G399" i="2" s="1"/>
  <c r="H399" i="2" s="1"/>
  <c r="D399" i="2"/>
  <c r="C399" i="2"/>
  <c r="B399" i="2"/>
  <c r="A399" i="2"/>
  <c r="P398" i="2"/>
  <c r="O398" i="2"/>
  <c r="N398" i="2"/>
  <c r="M398" i="2"/>
  <c r="L398" i="2"/>
  <c r="F398" i="2"/>
  <c r="E398" i="2"/>
  <c r="G398" i="2" s="1"/>
  <c r="H398" i="2" s="1"/>
  <c r="D398" i="2"/>
  <c r="C398" i="2"/>
  <c r="B398" i="2"/>
  <c r="A398" i="2"/>
  <c r="P397" i="2"/>
  <c r="O397" i="2"/>
  <c r="N397" i="2"/>
  <c r="M397" i="2"/>
  <c r="L397" i="2"/>
  <c r="I397" i="2"/>
  <c r="F397" i="2"/>
  <c r="E397" i="2"/>
  <c r="G397" i="2" s="1"/>
  <c r="H397" i="2" s="1"/>
  <c r="D397" i="2"/>
  <c r="C397" i="2"/>
  <c r="B397" i="2"/>
  <c r="A397" i="2"/>
  <c r="P396" i="2"/>
  <c r="O396" i="2"/>
  <c r="N396" i="2"/>
  <c r="M396" i="2"/>
  <c r="L396" i="2"/>
  <c r="J396" i="2"/>
  <c r="I396" i="2"/>
  <c r="H396" i="2"/>
  <c r="G396" i="2"/>
  <c r="K396" i="2" s="1"/>
  <c r="F396" i="2"/>
  <c r="E396" i="2"/>
  <c r="D396" i="2"/>
  <c r="C396" i="2"/>
  <c r="B396" i="2"/>
  <c r="A396" i="2"/>
  <c r="P395" i="2"/>
  <c r="O395" i="2"/>
  <c r="N395" i="2"/>
  <c r="M395" i="2"/>
  <c r="L395" i="2"/>
  <c r="I395" i="2"/>
  <c r="G395" i="2"/>
  <c r="H395" i="2" s="1"/>
  <c r="F395" i="2"/>
  <c r="E395" i="2"/>
  <c r="D395" i="2"/>
  <c r="C395" i="2"/>
  <c r="B395" i="2"/>
  <c r="A395" i="2"/>
  <c r="P394" i="2"/>
  <c r="O394" i="2"/>
  <c r="N394" i="2"/>
  <c r="M394" i="2"/>
  <c r="L394" i="2"/>
  <c r="J394" i="2"/>
  <c r="I394" i="2"/>
  <c r="F394" i="2"/>
  <c r="E394" i="2"/>
  <c r="D394" i="2"/>
  <c r="C394" i="2"/>
  <c r="B394" i="2"/>
  <c r="A394" i="2"/>
  <c r="P393" i="2"/>
  <c r="O393" i="2"/>
  <c r="N393" i="2"/>
  <c r="M393" i="2"/>
  <c r="L393" i="2"/>
  <c r="F393" i="2"/>
  <c r="E393" i="2"/>
  <c r="I393" i="2" s="1"/>
  <c r="D393" i="2"/>
  <c r="C393" i="2"/>
  <c r="B393" i="2"/>
  <c r="A393" i="2"/>
  <c r="P392" i="2"/>
  <c r="O392" i="2"/>
  <c r="N392" i="2"/>
  <c r="M392" i="2"/>
  <c r="L392" i="2"/>
  <c r="H392" i="2"/>
  <c r="G392" i="2"/>
  <c r="F392" i="2"/>
  <c r="E392" i="2"/>
  <c r="D392" i="2"/>
  <c r="C392" i="2"/>
  <c r="B392" i="2"/>
  <c r="A392" i="2"/>
  <c r="P391" i="2"/>
  <c r="O391" i="2"/>
  <c r="N391" i="2"/>
  <c r="M391" i="2"/>
  <c r="L391" i="2"/>
  <c r="I391" i="2"/>
  <c r="F391" i="2"/>
  <c r="E391" i="2"/>
  <c r="G391" i="2" s="1"/>
  <c r="H391" i="2" s="1"/>
  <c r="D391" i="2"/>
  <c r="C391" i="2"/>
  <c r="B391" i="2"/>
  <c r="A391" i="2"/>
  <c r="P390" i="2"/>
  <c r="O390" i="2"/>
  <c r="N390" i="2"/>
  <c r="M390" i="2"/>
  <c r="L390" i="2"/>
  <c r="F390" i="2"/>
  <c r="E390" i="2"/>
  <c r="G390" i="2" s="1"/>
  <c r="H390" i="2" s="1"/>
  <c r="D390" i="2"/>
  <c r="C390" i="2"/>
  <c r="B390" i="2"/>
  <c r="A390" i="2"/>
  <c r="P389" i="2"/>
  <c r="O389" i="2"/>
  <c r="N389" i="2"/>
  <c r="M389" i="2"/>
  <c r="L389" i="2"/>
  <c r="F389" i="2"/>
  <c r="E389" i="2"/>
  <c r="G389" i="2" s="1"/>
  <c r="H389" i="2" s="1"/>
  <c r="D389" i="2"/>
  <c r="C389" i="2"/>
  <c r="B389" i="2"/>
  <c r="A389" i="2"/>
  <c r="P388" i="2"/>
  <c r="O388" i="2"/>
  <c r="N388" i="2"/>
  <c r="M388" i="2"/>
  <c r="L388" i="2"/>
  <c r="F388" i="2"/>
  <c r="E388" i="2"/>
  <c r="G388" i="2" s="1"/>
  <c r="H388" i="2" s="1"/>
  <c r="D388" i="2"/>
  <c r="C388" i="2"/>
  <c r="B388" i="2"/>
  <c r="A388" i="2"/>
  <c r="P387" i="2"/>
  <c r="O387" i="2"/>
  <c r="N387" i="2"/>
  <c r="M387" i="2"/>
  <c r="L387" i="2"/>
  <c r="I387" i="2"/>
  <c r="F387" i="2"/>
  <c r="E387" i="2"/>
  <c r="G387" i="2" s="1"/>
  <c r="H387" i="2" s="1"/>
  <c r="D387" i="2"/>
  <c r="C387" i="2"/>
  <c r="B387" i="2"/>
  <c r="A387" i="2"/>
  <c r="P386" i="2"/>
  <c r="O386" i="2"/>
  <c r="N386" i="2"/>
  <c r="M386" i="2"/>
  <c r="L386" i="2"/>
  <c r="F386" i="2"/>
  <c r="E386" i="2"/>
  <c r="G386" i="2" s="1"/>
  <c r="H386" i="2" s="1"/>
  <c r="D386" i="2"/>
  <c r="C386" i="2"/>
  <c r="B386" i="2"/>
  <c r="A386" i="2"/>
  <c r="P385" i="2"/>
  <c r="O385" i="2"/>
  <c r="N385" i="2"/>
  <c r="M385" i="2"/>
  <c r="L385" i="2"/>
  <c r="F385" i="2"/>
  <c r="E385" i="2"/>
  <c r="G385" i="2" s="1"/>
  <c r="H385" i="2" s="1"/>
  <c r="D385" i="2"/>
  <c r="C385" i="2"/>
  <c r="B385" i="2"/>
  <c r="A385" i="2"/>
  <c r="P384" i="2"/>
  <c r="O384" i="2"/>
  <c r="N384" i="2"/>
  <c r="M384" i="2"/>
  <c r="L384" i="2"/>
  <c r="G384" i="2"/>
  <c r="H384" i="2" s="1"/>
  <c r="F384" i="2"/>
  <c r="E384" i="2"/>
  <c r="D384" i="2"/>
  <c r="C384" i="2"/>
  <c r="B384" i="2"/>
  <c r="A384" i="2"/>
  <c r="P383" i="2"/>
  <c r="O383" i="2"/>
  <c r="N383" i="2"/>
  <c r="M383" i="2"/>
  <c r="L383" i="2"/>
  <c r="F383" i="2"/>
  <c r="E383" i="2"/>
  <c r="G383" i="2" s="1"/>
  <c r="H383" i="2" s="1"/>
  <c r="D383" i="2"/>
  <c r="C383" i="2"/>
  <c r="B383" i="2"/>
  <c r="A383" i="2"/>
  <c r="P382" i="2"/>
  <c r="O382" i="2"/>
  <c r="N382" i="2"/>
  <c r="M382" i="2"/>
  <c r="L382" i="2"/>
  <c r="F382" i="2"/>
  <c r="E382" i="2"/>
  <c r="G382" i="2" s="1"/>
  <c r="D382" i="2"/>
  <c r="J382" i="2" s="1"/>
  <c r="C382" i="2"/>
  <c r="B382" i="2"/>
  <c r="A382" i="2"/>
  <c r="P381" i="2"/>
  <c r="O381" i="2"/>
  <c r="N381" i="2"/>
  <c r="M381" i="2"/>
  <c r="L381" i="2"/>
  <c r="I381" i="2"/>
  <c r="H381" i="2"/>
  <c r="G381" i="2"/>
  <c r="F381" i="2"/>
  <c r="E381" i="2"/>
  <c r="D381" i="2"/>
  <c r="C381" i="2"/>
  <c r="B381" i="2"/>
  <c r="A381" i="2"/>
  <c r="P380" i="2"/>
  <c r="O380" i="2"/>
  <c r="N380" i="2"/>
  <c r="M380" i="2"/>
  <c r="L380" i="2"/>
  <c r="K380" i="2"/>
  <c r="J380" i="2"/>
  <c r="I380" i="2"/>
  <c r="F380" i="2"/>
  <c r="E380" i="2"/>
  <c r="G380" i="2" s="1"/>
  <c r="H380" i="2" s="1"/>
  <c r="D380" i="2"/>
  <c r="C380" i="2"/>
  <c r="B380" i="2"/>
  <c r="A380" i="2"/>
  <c r="P379" i="2"/>
  <c r="O379" i="2"/>
  <c r="N379" i="2"/>
  <c r="M379" i="2"/>
  <c r="L379" i="2"/>
  <c r="G379" i="2"/>
  <c r="H379" i="2" s="1"/>
  <c r="F379" i="2"/>
  <c r="E379" i="2"/>
  <c r="I379" i="2" s="1"/>
  <c r="D379" i="2"/>
  <c r="C379" i="2"/>
  <c r="B379" i="2"/>
  <c r="A379" i="2"/>
  <c r="P378" i="2"/>
  <c r="O378" i="2"/>
  <c r="N378" i="2"/>
  <c r="M378" i="2"/>
  <c r="L378" i="2"/>
  <c r="K378" i="2"/>
  <c r="J378" i="2"/>
  <c r="I378" i="2"/>
  <c r="G378" i="2"/>
  <c r="H378" i="2" s="1"/>
  <c r="F378" i="2"/>
  <c r="E378" i="2"/>
  <c r="D378" i="2"/>
  <c r="C378" i="2"/>
  <c r="B378" i="2"/>
  <c r="A378" i="2"/>
  <c r="P377" i="2"/>
  <c r="O377" i="2"/>
  <c r="N377" i="2"/>
  <c r="M377" i="2"/>
  <c r="L377" i="2"/>
  <c r="H377" i="2"/>
  <c r="G377" i="2"/>
  <c r="F377" i="2"/>
  <c r="E377" i="2"/>
  <c r="D377" i="2"/>
  <c r="C377" i="2"/>
  <c r="B377" i="2"/>
  <c r="A377" i="2"/>
  <c r="P376" i="2"/>
  <c r="O376" i="2"/>
  <c r="N376" i="2"/>
  <c r="M376" i="2"/>
  <c r="L376" i="2"/>
  <c r="J376" i="2"/>
  <c r="I376" i="2"/>
  <c r="H376" i="2"/>
  <c r="G376" i="2"/>
  <c r="K376" i="2" s="1"/>
  <c r="F376" i="2"/>
  <c r="E376" i="2"/>
  <c r="D376" i="2"/>
  <c r="C376" i="2"/>
  <c r="B376" i="2"/>
  <c r="A376" i="2"/>
  <c r="P375" i="2"/>
  <c r="O375" i="2"/>
  <c r="N375" i="2"/>
  <c r="M375" i="2"/>
  <c r="L375" i="2"/>
  <c r="F375" i="2"/>
  <c r="E375" i="2"/>
  <c r="G375" i="2" s="1"/>
  <c r="H375" i="2" s="1"/>
  <c r="D375" i="2"/>
  <c r="C375" i="2"/>
  <c r="B375" i="2"/>
  <c r="A375" i="2"/>
  <c r="P374" i="2"/>
  <c r="O374" i="2"/>
  <c r="N374" i="2"/>
  <c r="M374" i="2"/>
  <c r="L374" i="2"/>
  <c r="F374" i="2"/>
  <c r="G374" i="2" s="1"/>
  <c r="H374" i="2" s="1"/>
  <c r="E374" i="2"/>
  <c r="D374" i="2"/>
  <c r="C374" i="2"/>
  <c r="B374" i="2"/>
  <c r="A374" i="2"/>
  <c r="P373" i="2"/>
  <c r="O373" i="2"/>
  <c r="N373" i="2"/>
  <c r="M373" i="2"/>
  <c r="L373" i="2"/>
  <c r="F373" i="2"/>
  <c r="E373" i="2"/>
  <c r="G373" i="2" s="1"/>
  <c r="H373" i="2" s="1"/>
  <c r="D373" i="2"/>
  <c r="C373" i="2"/>
  <c r="B373" i="2"/>
  <c r="A373" i="2"/>
  <c r="P372" i="2"/>
  <c r="O372" i="2"/>
  <c r="N372" i="2"/>
  <c r="M372" i="2"/>
  <c r="L372" i="2"/>
  <c r="K372" i="2"/>
  <c r="J372" i="2"/>
  <c r="G372" i="2"/>
  <c r="H372" i="2" s="1"/>
  <c r="F372" i="2"/>
  <c r="E372" i="2"/>
  <c r="D372" i="2"/>
  <c r="I372" i="2" s="1"/>
  <c r="C372" i="2"/>
  <c r="B372" i="2"/>
  <c r="A372" i="2"/>
  <c r="P371" i="2"/>
  <c r="O371" i="2"/>
  <c r="N371" i="2"/>
  <c r="M371" i="2"/>
  <c r="L371" i="2"/>
  <c r="F371" i="2"/>
  <c r="E371" i="2"/>
  <c r="G371" i="2" s="1"/>
  <c r="H371" i="2" s="1"/>
  <c r="D371" i="2"/>
  <c r="C371" i="2"/>
  <c r="B371" i="2"/>
  <c r="A371" i="2"/>
  <c r="P370" i="2"/>
  <c r="O370" i="2"/>
  <c r="N370" i="2"/>
  <c r="M370" i="2"/>
  <c r="L370" i="2"/>
  <c r="I370" i="2"/>
  <c r="F370" i="2"/>
  <c r="J370" i="2" s="1"/>
  <c r="E370" i="2"/>
  <c r="D370" i="2"/>
  <c r="C370" i="2"/>
  <c r="B370" i="2"/>
  <c r="A370" i="2"/>
  <c r="P369" i="2"/>
  <c r="O369" i="2"/>
  <c r="N369" i="2"/>
  <c r="M369" i="2"/>
  <c r="L369" i="2"/>
  <c r="G369" i="2"/>
  <c r="H369" i="2" s="1"/>
  <c r="F369" i="2"/>
  <c r="E369" i="2"/>
  <c r="D369" i="2"/>
  <c r="C369" i="2"/>
  <c r="B369" i="2"/>
  <c r="A369" i="2"/>
  <c r="P368" i="2"/>
  <c r="O368" i="2"/>
  <c r="N368" i="2"/>
  <c r="M368" i="2"/>
  <c r="L368" i="2"/>
  <c r="G368" i="2"/>
  <c r="H368" i="2" s="1"/>
  <c r="F368" i="2"/>
  <c r="E368" i="2"/>
  <c r="D368" i="2"/>
  <c r="C368" i="2"/>
  <c r="B368" i="2"/>
  <c r="A368" i="2"/>
  <c r="P367" i="2"/>
  <c r="O367" i="2"/>
  <c r="N367" i="2"/>
  <c r="M367" i="2"/>
  <c r="L367" i="2"/>
  <c r="F367" i="2"/>
  <c r="E367" i="2"/>
  <c r="G367" i="2" s="1"/>
  <c r="H367" i="2" s="1"/>
  <c r="D367" i="2"/>
  <c r="C367" i="2"/>
  <c r="B367" i="2"/>
  <c r="A367" i="2"/>
  <c r="P366" i="2"/>
  <c r="O366" i="2"/>
  <c r="N366" i="2"/>
  <c r="M366" i="2"/>
  <c r="L366" i="2"/>
  <c r="F366" i="2"/>
  <c r="E366" i="2"/>
  <c r="G366" i="2" s="1"/>
  <c r="H366" i="2" s="1"/>
  <c r="D366" i="2"/>
  <c r="K366" i="2" s="1"/>
  <c r="C366" i="2"/>
  <c r="B366" i="2"/>
  <c r="A366" i="2"/>
  <c r="P365" i="2"/>
  <c r="O365" i="2"/>
  <c r="N365" i="2"/>
  <c r="M365" i="2"/>
  <c r="L365" i="2"/>
  <c r="I365" i="2"/>
  <c r="F365" i="2"/>
  <c r="E365" i="2"/>
  <c r="G365" i="2" s="1"/>
  <c r="H365" i="2" s="1"/>
  <c r="D365" i="2"/>
  <c r="C365" i="2"/>
  <c r="B365" i="2"/>
  <c r="A365" i="2"/>
  <c r="P364" i="2"/>
  <c r="O364" i="2"/>
  <c r="N364" i="2"/>
  <c r="M364" i="2"/>
  <c r="L364" i="2"/>
  <c r="G364" i="2"/>
  <c r="H364" i="2" s="1"/>
  <c r="F364" i="2"/>
  <c r="E364" i="2"/>
  <c r="D364" i="2"/>
  <c r="C364" i="2"/>
  <c r="B364" i="2"/>
  <c r="A364" i="2"/>
  <c r="P363" i="2"/>
  <c r="O363" i="2"/>
  <c r="N363" i="2"/>
  <c r="M363" i="2"/>
  <c r="L363" i="2"/>
  <c r="I363" i="2"/>
  <c r="G363" i="2"/>
  <c r="H363" i="2" s="1"/>
  <c r="F363" i="2"/>
  <c r="E363" i="2"/>
  <c r="D363" i="2"/>
  <c r="C363" i="2"/>
  <c r="B363" i="2"/>
  <c r="A363" i="2"/>
  <c r="P362" i="2"/>
  <c r="O362" i="2"/>
  <c r="N362" i="2"/>
  <c r="M362" i="2"/>
  <c r="L362" i="2"/>
  <c r="G362" i="2"/>
  <c r="H362" i="2" s="1"/>
  <c r="F362" i="2"/>
  <c r="E362" i="2"/>
  <c r="D362" i="2"/>
  <c r="C362" i="2"/>
  <c r="B362" i="2"/>
  <c r="A362" i="2"/>
  <c r="P361" i="2"/>
  <c r="O361" i="2"/>
  <c r="N361" i="2"/>
  <c r="M361" i="2"/>
  <c r="L361" i="2"/>
  <c r="F361" i="2"/>
  <c r="E361" i="2"/>
  <c r="I361" i="2" s="1"/>
  <c r="D361" i="2"/>
  <c r="C361" i="2"/>
  <c r="B361" i="2"/>
  <c r="A361" i="2"/>
  <c r="P360" i="2"/>
  <c r="O360" i="2"/>
  <c r="N360" i="2"/>
  <c r="M360" i="2"/>
  <c r="L360" i="2"/>
  <c r="K360" i="2"/>
  <c r="J360" i="2"/>
  <c r="F360" i="2"/>
  <c r="E360" i="2"/>
  <c r="G360" i="2" s="1"/>
  <c r="H360" i="2" s="1"/>
  <c r="D360" i="2"/>
  <c r="C360" i="2"/>
  <c r="B360" i="2"/>
  <c r="A360" i="2"/>
  <c r="P359" i="2"/>
  <c r="O359" i="2"/>
  <c r="N359" i="2"/>
  <c r="M359" i="2"/>
  <c r="L359" i="2"/>
  <c r="I359" i="2"/>
  <c r="F359" i="2"/>
  <c r="G359" i="2" s="1"/>
  <c r="H359" i="2" s="1"/>
  <c r="E359" i="2"/>
  <c r="D359" i="2"/>
  <c r="C359" i="2"/>
  <c r="B359" i="2"/>
  <c r="A359" i="2"/>
  <c r="P358" i="2"/>
  <c r="O358" i="2"/>
  <c r="N358" i="2"/>
  <c r="M358" i="2"/>
  <c r="L358" i="2"/>
  <c r="I358" i="2"/>
  <c r="G358" i="2"/>
  <c r="F358" i="2"/>
  <c r="E358" i="2"/>
  <c r="D358" i="2"/>
  <c r="J358" i="2" s="1"/>
  <c r="C358" i="2"/>
  <c r="B358" i="2"/>
  <c r="A358" i="2"/>
  <c r="P357" i="2"/>
  <c r="O357" i="2"/>
  <c r="N357" i="2"/>
  <c r="M357" i="2"/>
  <c r="L357" i="2"/>
  <c r="F357" i="2"/>
  <c r="E357" i="2"/>
  <c r="G357" i="2" s="1"/>
  <c r="H357" i="2" s="1"/>
  <c r="D357" i="2"/>
  <c r="C357" i="2"/>
  <c r="B357" i="2"/>
  <c r="A357" i="2"/>
  <c r="P356" i="2"/>
  <c r="O356" i="2"/>
  <c r="N356" i="2"/>
  <c r="M356" i="2"/>
  <c r="L356" i="2"/>
  <c r="G356" i="2"/>
  <c r="H356" i="2" s="1"/>
  <c r="F356" i="2"/>
  <c r="E356" i="2"/>
  <c r="D356" i="2"/>
  <c r="C356" i="2"/>
  <c r="B356" i="2"/>
  <c r="A356" i="2"/>
  <c r="P355" i="2"/>
  <c r="O355" i="2"/>
  <c r="N355" i="2"/>
  <c r="M355" i="2"/>
  <c r="L355" i="2"/>
  <c r="I355" i="2"/>
  <c r="F355" i="2"/>
  <c r="E355" i="2"/>
  <c r="G355" i="2" s="1"/>
  <c r="H355" i="2" s="1"/>
  <c r="D355" i="2"/>
  <c r="C355" i="2"/>
  <c r="B355" i="2"/>
  <c r="A355" i="2"/>
  <c r="P354" i="2"/>
  <c r="O354" i="2"/>
  <c r="N354" i="2"/>
  <c r="M354" i="2"/>
  <c r="L354" i="2"/>
  <c r="F354" i="2"/>
  <c r="E354" i="2"/>
  <c r="G354" i="2" s="1"/>
  <c r="H354" i="2" s="1"/>
  <c r="D354" i="2"/>
  <c r="C354" i="2"/>
  <c r="B354" i="2"/>
  <c r="A354" i="2"/>
  <c r="P353" i="2"/>
  <c r="O353" i="2"/>
  <c r="N353" i="2"/>
  <c r="M353" i="2"/>
  <c r="L353" i="2"/>
  <c r="I353" i="2"/>
  <c r="G353" i="2"/>
  <c r="H353" i="2" s="1"/>
  <c r="F353" i="2"/>
  <c r="E353" i="2"/>
  <c r="D353" i="2"/>
  <c r="C353" i="2"/>
  <c r="B353" i="2"/>
  <c r="A353" i="2"/>
  <c r="P352" i="2"/>
  <c r="O352" i="2"/>
  <c r="N352" i="2"/>
  <c r="M352" i="2"/>
  <c r="L352" i="2"/>
  <c r="G352" i="2"/>
  <c r="H352" i="2" s="1"/>
  <c r="F352" i="2"/>
  <c r="E352" i="2"/>
  <c r="D352" i="2"/>
  <c r="C352" i="2"/>
  <c r="B352" i="2"/>
  <c r="A352" i="2"/>
  <c r="P351" i="2"/>
  <c r="O351" i="2"/>
  <c r="N351" i="2"/>
  <c r="M351" i="2"/>
  <c r="L351" i="2"/>
  <c r="F351" i="2"/>
  <c r="G351" i="2" s="1"/>
  <c r="H351" i="2" s="1"/>
  <c r="E351" i="2"/>
  <c r="D351" i="2"/>
  <c r="C351" i="2"/>
  <c r="B351" i="2"/>
  <c r="A351" i="2"/>
  <c r="P350" i="2"/>
  <c r="O350" i="2"/>
  <c r="N350" i="2"/>
  <c r="M350" i="2"/>
  <c r="L350" i="2"/>
  <c r="F350" i="2"/>
  <c r="E350" i="2"/>
  <c r="G350" i="2" s="1"/>
  <c r="H350" i="2" s="1"/>
  <c r="D350" i="2"/>
  <c r="C350" i="2"/>
  <c r="B350" i="2"/>
  <c r="A350" i="2"/>
  <c r="P349" i="2"/>
  <c r="O349" i="2"/>
  <c r="N349" i="2"/>
  <c r="M349" i="2"/>
  <c r="L349" i="2"/>
  <c r="F349" i="2"/>
  <c r="E349" i="2"/>
  <c r="G349" i="2" s="1"/>
  <c r="H349" i="2" s="1"/>
  <c r="D349" i="2"/>
  <c r="K349" i="2" s="1"/>
  <c r="C349" i="2"/>
  <c r="B349" i="2"/>
  <c r="A349" i="2"/>
  <c r="P348" i="2"/>
  <c r="O348" i="2"/>
  <c r="N348" i="2"/>
  <c r="M348" i="2"/>
  <c r="L348" i="2"/>
  <c r="G348" i="2"/>
  <c r="H348" i="2" s="1"/>
  <c r="F348" i="2"/>
  <c r="E348" i="2"/>
  <c r="D348" i="2"/>
  <c r="C348" i="2"/>
  <c r="B348" i="2"/>
  <c r="A348" i="2"/>
  <c r="P347" i="2"/>
  <c r="O347" i="2"/>
  <c r="N347" i="2"/>
  <c r="M347" i="2"/>
  <c r="L347" i="2"/>
  <c r="J347" i="2"/>
  <c r="F347" i="2"/>
  <c r="E347" i="2"/>
  <c r="G347" i="2" s="1"/>
  <c r="H347" i="2" s="1"/>
  <c r="D347" i="2"/>
  <c r="C347" i="2"/>
  <c r="B347" i="2"/>
  <c r="A347" i="2"/>
  <c r="P346" i="2"/>
  <c r="O346" i="2"/>
  <c r="N346" i="2"/>
  <c r="M346" i="2"/>
  <c r="L346" i="2"/>
  <c r="F346" i="2"/>
  <c r="E346" i="2"/>
  <c r="G346" i="2" s="1"/>
  <c r="H346" i="2" s="1"/>
  <c r="D346" i="2"/>
  <c r="C346" i="2"/>
  <c r="B346" i="2"/>
  <c r="A346" i="2"/>
  <c r="P345" i="2"/>
  <c r="O345" i="2"/>
  <c r="N345" i="2"/>
  <c r="M345" i="2"/>
  <c r="L345" i="2"/>
  <c r="F345" i="2"/>
  <c r="E345" i="2"/>
  <c r="G345" i="2" s="1"/>
  <c r="H345" i="2" s="1"/>
  <c r="D345" i="2"/>
  <c r="C345" i="2"/>
  <c r="B345" i="2"/>
  <c r="A345" i="2"/>
  <c r="P344" i="2"/>
  <c r="O344" i="2"/>
  <c r="N344" i="2"/>
  <c r="M344" i="2"/>
  <c r="L344" i="2"/>
  <c r="K344" i="2"/>
  <c r="J344" i="2"/>
  <c r="F344" i="2"/>
  <c r="E344" i="2"/>
  <c r="G344" i="2" s="1"/>
  <c r="H344" i="2" s="1"/>
  <c r="D344" i="2"/>
  <c r="I344" i="2" s="1"/>
  <c r="C344" i="2"/>
  <c r="B344" i="2"/>
  <c r="A344" i="2"/>
  <c r="P343" i="2"/>
  <c r="O343" i="2"/>
  <c r="N343" i="2"/>
  <c r="M343" i="2"/>
  <c r="L343" i="2"/>
  <c r="I343" i="2"/>
  <c r="F343" i="2"/>
  <c r="E343" i="2"/>
  <c r="D343" i="2"/>
  <c r="C343" i="2"/>
  <c r="B343" i="2"/>
  <c r="A343" i="2"/>
  <c r="P342" i="2"/>
  <c r="O342" i="2"/>
  <c r="N342" i="2"/>
  <c r="M342" i="2"/>
  <c r="L342" i="2"/>
  <c r="F342" i="2"/>
  <c r="E342" i="2"/>
  <c r="G342" i="2" s="1"/>
  <c r="H342" i="2" s="1"/>
  <c r="D342" i="2"/>
  <c r="I342" i="2" s="1"/>
  <c r="C342" i="2"/>
  <c r="B342" i="2"/>
  <c r="A342" i="2"/>
  <c r="P341" i="2"/>
  <c r="O341" i="2"/>
  <c r="N341" i="2"/>
  <c r="M341" i="2"/>
  <c r="L341" i="2"/>
  <c r="J341" i="2"/>
  <c r="I341" i="2"/>
  <c r="F341" i="2"/>
  <c r="E341" i="2"/>
  <c r="G341" i="2" s="1"/>
  <c r="H341" i="2" s="1"/>
  <c r="D341" i="2"/>
  <c r="C341" i="2"/>
  <c r="B341" i="2"/>
  <c r="A341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340" i="2"/>
  <c r="P339" i="2"/>
  <c r="O339" i="2"/>
  <c r="N339" i="2"/>
  <c r="M339" i="2"/>
  <c r="L339" i="2"/>
  <c r="I339" i="2"/>
  <c r="H339" i="2"/>
  <c r="G339" i="2"/>
  <c r="F339" i="2"/>
  <c r="E339" i="2"/>
  <c r="D339" i="2"/>
  <c r="C339" i="2"/>
  <c r="B339" i="2"/>
  <c r="A339" i="2"/>
  <c r="P338" i="2"/>
  <c r="O338" i="2"/>
  <c r="N338" i="2"/>
  <c r="M338" i="2"/>
  <c r="L338" i="2"/>
  <c r="J338" i="2"/>
  <c r="I338" i="2"/>
  <c r="G338" i="2"/>
  <c r="K338" i="2" s="1"/>
  <c r="F338" i="2"/>
  <c r="E338" i="2"/>
  <c r="D338" i="2"/>
  <c r="C338" i="2"/>
  <c r="B338" i="2"/>
  <c r="A338" i="2"/>
  <c r="P337" i="2"/>
  <c r="O337" i="2"/>
  <c r="N337" i="2"/>
  <c r="M337" i="2"/>
  <c r="L337" i="2"/>
  <c r="I337" i="2"/>
  <c r="H337" i="2"/>
  <c r="G337" i="2"/>
  <c r="F337" i="2"/>
  <c r="E337" i="2"/>
  <c r="D337" i="2"/>
  <c r="C337" i="2"/>
  <c r="B337" i="2"/>
  <c r="A337" i="2"/>
  <c r="P336" i="2"/>
  <c r="O336" i="2"/>
  <c r="N336" i="2"/>
  <c r="M336" i="2"/>
  <c r="L336" i="2"/>
  <c r="I336" i="2"/>
  <c r="F336" i="2"/>
  <c r="J336" i="2" s="1"/>
  <c r="E336" i="2"/>
  <c r="D336" i="2"/>
  <c r="C336" i="2"/>
  <c r="B336" i="2"/>
  <c r="A336" i="2"/>
  <c r="P335" i="2"/>
  <c r="O335" i="2"/>
  <c r="N335" i="2"/>
  <c r="M335" i="2"/>
  <c r="L335" i="2"/>
  <c r="G335" i="2"/>
  <c r="H335" i="2" s="1"/>
  <c r="F335" i="2"/>
  <c r="E335" i="2"/>
  <c r="D335" i="2"/>
  <c r="C335" i="2"/>
  <c r="B335" i="2"/>
  <c r="A335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334" i="2"/>
  <c r="P333" i="2"/>
  <c r="O333" i="2"/>
  <c r="N333" i="2"/>
  <c r="M333" i="2"/>
  <c r="L333" i="2"/>
  <c r="F333" i="2"/>
  <c r="E333" i="2"/>
  <c r="D333" i="2"/>
  <c r="C333" i="2"/>
  <c r="B333" i="2"/>
  <c r="A333" i="2"/>
  <c r="P332" i="2"/>
  <c r="O332" i="2"/>
  <c r="N332" i="2"/>
  <c r="M332" i="2"/>
  <c r="L332" i="2"/>
  <c r="J332" i="2"/>
  <c r="I332" i="2"/>
  <c r="F332" i="2"/>
  <c r="G332" i="2" s="1"/>
  <c r="E332" i="2"/>
  <c r="D332" i="2"/>
  <c r="C332" i="2"/>
  <c r="B332" i="2"/>
  <c r="A332" i="2"/>
  <c r="P331" i="2"/>
  <c r="O331" i="2"/>
  <c r="N331" i="2"/>
  <c r="M331" i="2"/>
  <c r="L331" i="2"/>
  <c r="F331" i="2"/>
  <c r="E331" i="2"/>
  <c r="G331" i="2" s="1"/>
  <c r="H331" i="2" s="1"/>
  <c r="D331" i="2"/>
  <c r="C331" i="2"/>
  <c r="B331" i="2"/>
  <c r="A331" i="2"/>
  <c r="P330" i="2"/>
  <c r="O330" i="2"/>
  <c r="N330" i="2"/>
  <c r="M330" i="2"/>
  <c r="L330" i="2"/>
  <c r="J330" i="2"/>
  <c r="G330" i="2"/>
  <c r="H330" i="2" s="1"/>
  <c r="F330" i="2"/>
  <c r="E330" i="2"/>
  <c r="D330" i="2"/>
  <c r="C330" i="2"/>
  <c r="B330" i="2"/>
  <c r="A330" i="2"/>
  <c r="P329" i="2"/>
  <c r="O329" i="2"/>
  <c r="N329" i="2"/>
  <c r="M329" i="2"/>
  <c r="L329" i="2"/>
  <c r="I329" i="2"/>
  <c r="F329" i="2"/>
  <c r="G329" i="2" s="1"/>
  <c r="H329" i="2" s="1"/>
  <c r="E329" i="2"/>
  <c r="D329" i="2"/>
  <c r="J329" i="2" s="1"/>
  <c r="C329" i="2"/>
  <c r="B329" i="2"/>
  <c r="A329" i="2"/>
  <c r="P328" i="2"/>
  <c r="O328" i="2"/>
  <c r="N328" i="2"/>
  <c r="M328" i="2"/>
  <c r="L328" i="2"/>
  <c r="G328" i="2"/>
  <c r="H328" i="2" s="1"/>
  <c r="F328" i="2"/>
  <c r="E328" i="2"/>
  <c r="D328" i="2"/>
  <c r="C328" i="2"/>
  <c r="B328" i="2"/>
  <c r="A328" i="2"/>
  <c r="P327" i="2"/>
  <c r="O327" i="2"/>
  <c r="N327" i="2"/>
  <c r="M327" i="2"/>
  <c r="L327" i="2"/>
  <c r="I327" i="2"/>
  <c r="F327" i="2"/>
  <c r="E327" i="2"/>
  <c r="G327" i="2" s="1"/>
  <c r="H327" i="2" s="1"/>
  <c r="D327" i="2"/>
  <c r="C327" i="2"/>
  <c r="B327" i="2"/>
  <c r="A327" i="2"/>
  <c r="P326" i="2"/>
  <c r="O326" i="2"/>
  <c r="N326" i="2"/>
  <c r="M326" i="2"/>
  <c r="L326" i="2"/>
  <c r="F326" i="2"/>
  <c r="E326" i="2"/>
  <c r="G326" i="2" s="1"/>
  <c r="H326" i="2" s="1"/>
  <c r="D326" i="2"/>
  <c r="K326" i="2" s="1"/>
  <c r="C326" i="2"/>
  <c r="B326" i="2"/>
  <c r="A326" i="2"/>
  <c r="P325" i="2"/>
  <c r="O325" i="2"/>
  <c r="N325" i="2"/>
  <c r="M325" i="2"/>
  <c r="L325" i="2"/>
  <c r="K325" i="2"/>
  <c r="I325" i="2"/>
  <c r="H325" i="2"/>
  <c r="G325" i="2"/>
  <c r="F325" i="2"/>
  <c r="E325" i="2"/>
  <c r="D325" i="2"/>
  <c r="J325" i="2" s="1"/>
  <c r="C325" i="2"/>
  <c r="B325" i="2"/>
  <c r="A325" i="2"/>
  <c r="P324" i="2"/>
  <c r="O324" i="2"/>
  <c r="N324" i="2"/>
  <c r="M324" i="2"/>
  <c r="L324" i="2"/>
  <c r="F324" i="2"/>
  <c r="E324" i="2"/>
  <c r="G324" i="2" s="1"/>
  <c r="H324" i="2" s="1"/>
  <c r="D324" i="2"/>
  <c r="C324" i="2"/>
  <c r="B324" i="2"/>
  <c r="A324" i="2"/>
  <c r="P323" i="2"/>
  <c r="O323" i="2"/>
  <c r="N323" i="2"/>
  <c r="M323" i="2"/>
  <c r="L323" i="2"/>
  <c r="K323" i="2"/>
  <c r="I323" i="2"/>
  <c r="H323" i="2"/>
  <c r="G323" i="2"/>
  <c r="F323" i="2"/>
  <c r="E323" i="2"/>
  <c r="D323" i="2"/>
  <c r="C323" i="2"/>
  <c r="B323" i="2"/>
  <c r="A323" i="2"/>
  <c r="P322" i="2"/>
  <c r="O322" i="2"/>
  <c r="N322" i="2"/>
  <c r="M322" i="2"/>
  <c r="L322" i="2"/>
  <c r="F322" i="2"/>
  <c r="E322" i="2"/>
  <c r="G322" i="2" s="1"/>
  <c r="H322" i="2" s="1"/>
  <c r="D322" i="2"/>
  <c r="C322" i="2"/>
  <c r="B322" i="2"/>
  <c r="A322" i="2"/>
  <c r="P321" i="2"/>
  <c r="O321" i="2"/>
  <c r="N321" i="2"/>
  <c r="M321" i="2"/>
  <c r="L321" i="2"/>
  <c r="G321" i="2"/>
  <c r="H321" i="2" s="1"/>
  <c r="F321" i="2"/>
  <c r="E321" i="2"/>
  <c r="D321" i="2"/>
  <c r="C321" i="2"/>
  <c r="B321" i="2"/>
  <c r="A321" i="2"/>
  <c r="P320" i="2"/>
  <c r="O320" i="2"/>
  <c r="N320" i="2"/>
  <c r="M320" i="2"/>
  <c r="L320" i="2"/>
  <c r="F320" i="2"/>
  <c r="E320" i="2"/>
  <c r="G320" i="2" s="1"/>
  <c r="H320" i="2" s="1"/>
  <c r="D320" i="2"/>
  <c r="C320" i="2"/>
  <c r="B320" i="2"/>
  <c r="A320" i="2"/>
  <c r="P319" i="2"/>
  <c r="O319" i="2"/>
  <c r="N319" i="2"/>
  <c r="M319" i="2"/>
  <c r="L319" i="2"/>
  <c r="F319" i="2"/>
  <c r="G319" i="2" s="1"/>
  <c r="H319" i="2" s="1"/>
  <c r="E319" i="2"/>
  <c r="D319" i="2"/>
  <c r="C319" i="2"/>
  <c r="B319" i="2"/>
  <c r="A319" i="2"/>
  <c r="P318" i="2"/>
  <c r="O318" i="2"/>
  <c r="N318" i="2"/>
  <c r="M318" i="2"/>
  <c r="L318" i="2"/>
  <c r="G318" i="2"/>
  <c r="H318" i="2" s="1"/>
  <c r="F318" i="2"/>
  <c r="E318" i="2"/>
  <c r="I318" i="2" s="1"/>
  <c r="D318" i="2"/>
  <c r="C318" i="2"/>
  <c r="B318" i="2"/>
  <c r="A318" i="2"/>
  <c r="P317" i="2"/>
  <c r="O317" i="2"/>
  <c r="N317" i="2"/>
  <c r="M317" i="2"/>
  <c r="L317" i="2"/>
  <c r="F317" i="2"/>
  <c r="E317" i="2"/>
  <c r="G317" i="2" s="1"/>
  <c r="H317" i="2" s="1"/>
  <c r="D317" i="2"/>
  <c r="C317" i="2"/>
  <c r="B317" i="2"/>
  <c r="A317" i="2"/>
  <c r="P316" i="2"/>
  <c r="O316" i="2"/>
  <c r="N316" i="2"/>
  <c r="M316" i="2"/>
  <c r="L316" i="2"/>
  <c r="J316" i="2"/>
  <c r="F316" i="2"/>
  <c r="E316" i="2"/>
  <c r="D316" i="2"/>
  <c r="I316" i="2" s="1"/>
  <c r="C316" i="2"/>
  <c r="B316" i="2"/>
  <c r="A316" i="2"/>
  <c r="P315" i="2"/>
  <c r="O315" i="2"/>
  <c r="N315" i="2"/>
  <c r="M315" i="2"/>
  <c r="L315" i="2"/>
  <c r="F315" i="2"/>
  <c r="E315" i="2"/>
  <c r="G315" i="2" s="1"/>
  <c r="H315" i="2" s="1"/>
  <c r="D315" i="2"/>
  <c r="C315" i="2"/>
  <c r="B315" i="2"/>
  <c r="A315" i="2"/>
  <c r="P314" i="2"/>
  <c r="O314" i="2"/>
  <c r="N314" i="2"/>
  <c r="M314" i="2"/>
  <c r="L314" i="2"/>
  <c r="J314" i="2"/>
  <c r="I314" i="2"/>
  <c r="G314" i="2"/>
  <c r="K314" i="2" s="1"/>
  <c r="F314" i="2"/>
  <c r="E314" i="2"/>
  <c r="D314" i="2"/>
  <c r="C314" i="2"/>
  <c r="B314" i="2"/>
  <c r="A314" i="2"/>
  <c r="P313" i="2"/>
  <c r="O313" i="2"/>
  <c r="N313" i="2"/>
  <c r="M313" i="2"/>
  <c r="L313" i="2"/>
  <c r="F313" i="2"/>
  <c r="E313" i="2"/>
  <c r="G313" i="2" s="1"/>
  <c r="H313" i="2" s="1"/>
  <c r="D313" i="2"/>
  <c r="C313" i="2"/>
  <c r="B313" i="2"/>
  <c r="A313" i="2"/>
  <c r="P312" i="2"/>
  <c r="O312" i="2"/>
  <c r="N312" i="2"/>
  <c r="M312" i="2"/>
  <c r="L312" i="2"/>
  <c r="F312" i="2"/>
  <c r="G312" i="2" s="1"/>
  <c r="H312" i="2" s="1"/>
  <c r="E312" i="2"/>
  <c r="D312" i="2"/>
  <c r="K312" i="2" s="1"/>
  <c r="C312" i="2"/>
  <c r="B312" i="2"/>
  <c r="A312" i="2"/>
  <c r="P311" i="2"/>
  <c r="O311" i="2"/>
  <c r="N311" i="2"/>
  <c r="M311" i="2"/>
  <c r="L311" i="2"/>
  <c r="G311" i="2"/>
  <c r="H311" i="2" s="1"/>
  <c r="F311" i="2"/>
  <c r="E311" i="2"/>
  <c r="D311" i="2"/>
  <c r="C311" i="2"/>
  <c r="B311" i="2"/>
  <c r="A311" i="2"/>
  <c r="P310" i="2"/>
  <c r="O310" i="2"/>
  <c r="N310" i="2"/>
  <c r="M310" i="2"/>
  <c r="L310" i="2"/>
  <c r="F310" i="2"/>
  <c r="J310" i="2" s="1"/>
  <c r="E310" i="2"/>
  <c r="I310" i="2" s="1"/>
  <c r="D310" i="2"/>
  <c r="C310" i="2"/>
  <c r="B310" i="2"/>
  <c r="A310" i="2"/>
  <c r="P309" i="2"/>
  <c r="O309" i="2"/>
  <c r="N309" i="2"/>
  <c r="M309" i="2"/>
  <c r="L309" i="2"/>
  <c r="I309" i="2"/>
  <c r="F309" i="2"/>
  <c r="G309" i="2" s="1"/>
  <c r="E309" i="2"/>
  <c r="D309" i="2"/>
  <c r="C309" i="2"/>
  <c r="B309" i="2"/>
  <c r="A309" i="2"/>
  <c r="P308" i="2"/>
  <c r="O308" i="2"/>
  <c r="N308" i="2"/>
  <c r="M308" i="2"/>
  <c r="L308" i="2"/>
  <c r="J308" i="2"/>
  <c r="F308" i="2"/>
  <c r="E308" i="2"/>
  <c r="G308" i="2" s="1"/>
  <c r="D308" i="2"/>
  <c r="I308" i="2" s="1"/>
  <c r="C308" i="2"/>
  <c r="B308" i="2"/>
  <c r="A308" i="2"/>
  <c r="P307" i="2"/>
  <c r="O307" i="2"/>
  <c r="N307" i="2"/>
  <c r="M307" i="2"/>
  <c r="L307" i="2"/>
  <c r="F307" i="2"/>
  <c r="E307" i="2"/>
  <c r="D307" i="2"/>
  <c r="C307" i="2"/>
  <c r="B307" i="2"/>
  <c r="A307" i="2"/>
  <c r="P306" i="2"/>
  <c r="O306" i="2"/>
  <c r="N306" i="2"/>
  <c r="M306" i="2"/>
  <c r="L306" i="2"/>
  <c r="F306" i="2"/>
  <c r="J306" i="2" s="1"/>
  <c r="E306" i="2"/>
  <c r="D306" i="2"/>
  <c r="C306" i="2"/>
  <c r="B306" i="2"/>
  <c r="A306" i="2"/>
  <c r="P305" i="2"/>
  <c r="O305" i="2"/>
  <c r="N305" i="2"/>
  <c r="M305" i="2"/>
  <c r="L305" i="2"/>
  <c r="F305" i="2"/>
  <c r="E305" i="2"/>
  <c r="G305" i="2" s="1"/>
  <c r="H305" i="2" s="1"/>
  <c r="D305" i="2"/>
  <c r="C305" i="2"/>
  <c r="B305" i="2"/>
  <c r="A305" i="2"/>
  <c r="P304" i="2"/>
  <c r="O304" i="2"/>
  <c r="N304" i="2"/>
  <c r="M304" i="2"/>
  <c r="L304" i="2"/>
  <c r="F304" i="2"/>
  <c r="E304" i="2"/>
  <c r="G304" i="2" s="1"/>
  <c r="H304" i="2" s="1"/>
  <c r="D304" i="2"/>
  <c r="J304" i="2" s="1"/>
  <c r="C304" i="2"/>
  <c r="B304" i="2"/>
  <c r="A304" i="2"/>
  <c r="P303" i="2"/>
  <c r="O303" i="2"/>
  <c r="N303" i="2"/>
  <c r="M303" i="2"/>
  <c r="L303" i="2"/>
  <c r="I303" i="2"/>
  <c r="H303" i="2"/>
  <c r="G303" i="2"/>
  <c r="F303" i="2"/>
  <c r="E303" i="2"/>
  <c r="D303" i="2"/>
  <c r="J303" i="2" s="1"/>
  <c r="C303" i="2"/>
  <c r="B303" i="2"/>
  <c r="A303" i="2"/>
  <c r="P302" i="2"/>
  <c r="O302" i="2"/>
  <c r="N302" i="2"/>
  <c r="M302" i="2"/>
  <c r="L302" i="2"/>
  <c r="J302" i="2"/>
  <c r="F302" i="2"/>
  <c r="E302" i="2"/>
  <c r="G302" i="2" s="1"/>
  <c r="D302" i="2"/>
  <c r="C302" i="2"/>
  <c r="B302" i="2"/>
  <c r="A302" i="2"/>
  <c r="P301" i="2"/>
  <c r="O301" i="2"/>
  <c r="N301" i="2"/>
  <c r="M301" i="2"/>
  <c r="L301" i="2"/>
  <c r="I301" i="2"/>
  <c r="G301" i="2"/>
  <c r="H301" i="2" s="1"/>
  <c r="F301" i="2"/>
  <c r="E301" i="2"/>
  <c r="D301" i="2"/>
  <c r="C301" i="2"/>
  <c r="B301" i="2"/>
  <c r="A301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300" i="2"/>
  <c r="P299" i="2"/>
  <c r="O299" i="2"/>
  <c r="N299" i="2"/>
  <c r="M299" i="2"/>
  <c r="L299" i="2"/>
  <c r="F299" i="2"/>
  <c r="G299" i="2" s="1"/>
  <c r="H299" i="2" s="1"/>
  <c r="E299" i="2"/>
  <c r="D299" i="2"/>
  <c r="C299" i="2"/>
  <c r="B299" i="2"/>
  <c r="A299" i="2"/>
  <c r="P298" i="2"/>
  <c r="O298" i="2"/>
  <c r="N298" i="2"/>
  <c r="M298" i="2"/>
  <c r="L298" i="2"/>
  <c r="I298" i="2"/>
  <c r="G298" i="2"/>
  <c r="F298" i="2"/>
  <c r="J298" i="2" s="1"/>
  <c r="E298" i="2"/>
  <c r="D298" i="2"/>
  <c r="C298" i="2"/>
  <c r="B298" i="2"/>
  <c r="A298" i="2"/>
  <c r="P297" i="2"/>
  <c r="O297" i="2"/>
  <c r="N297" i="2"/>
  <c r="M297" i="2"/>
  <c r="L297" i="2"/>
  <c r="F297" i="2"/>
  <c r="E297" i="2"/>
  <c r="D297" i="2"/>
  <c r="C297" i="2"/>
  <c r="B297" i="2"/>
  <c r="A297" i="2"/>
  <c r="P296" i="2"/>
  <c r="O296" i="2"/>
  <c r="N296" i="2"/>
  <c r="M296" i="2"/>
  <c r="L296" i="2"/>
  <c r="F296" i="2"/>
  <c r="E296" i="2"/>
  <c r="G296" i="2" s="1"/>
  <c r="H296" i="2" s="1"/>
  <c r="D296" i="2"/>
  <c r="C296" i="2"/>
  <c r="B296" i="2"/>
  <c r="A296" i="2"/>
  <c r="P295" i="2"/>
  <c r="O295" i="2"/>
  <c r="N295" i="2"/>
  <c r="M295" i="2"/>
  <c r="L295" i="2"/>
  <c r="F295" i="2"/>
  <c r="E295" i="2"/>
  <c r="G295" i="2" s="1"/>
  <c r="H295" i="2" s="1"/>
  <c r="D295" i="2"/>
  <c r="C295" i="2"/>
  <c r="B295" i="2"/>
  <c r="A295" i="2"/>
  <c r="P294" i="2"/>
  <c r="O294" i="2"/>
  <c r="N294" i="2"/>
  <c r="M294" i="2"/>
  <c r="L294" i="2"/>
  <c r="F294" i="2"/>
  <c r="E294" i="2"/>
  <c r="G294" i="2" s="1"/>
  <c r="H294" i="2" s="1"/>
  <c r="D294" i="2"/>
  <c r="K294" i="2" s="1"/>
  <c r="C294" i="2"/>
  <c r="B294" i="2"/>
  <c r="A294" i="2"/>
  <c r="P293" i="2"/>
  <c r="O293" i="2"/>
  <c r="N293" i="2"/>
  <c r="M293" i="2"/>
  <c r="L293" i="2"/>
  <c r="K293" i="2"/>
  <c r="F293" i="2"/>
  <c r="E293" i="2"/>
  <c r="G293" i="2" s="1"/>
  <c r="H293" i="2" s="1"/>
  <c r="D293" i="2"/>
  <c r="C293" i="2"/>
  <c r="B293" i="2"/>
  <c r="A293" i="2"/>
  <c r="P292" i="2"/>
  <c r="O292" i="2"/>
  <c r="N292" i="2"/>
  <c r="M292" i="2"/>
  <c r="L292" i="2"/>
  <c r="F292" i="2"/>
  <c r="E292" i="2"/>
  <c r="G292" i="2" s="1"/>
  <c r="H292" i="2" s="1"/>
  <c r="D292" i="2"/>
  <c r="K292" i="2" s="1"/>
  <c r="C292" i="2"/>
  <c r="B292" i="2"/>
  <c r="A292" i="2"/>
  <c r="P291" i="2"/>
  <c r="O291" i="2"/>
  <c r="N291" i="2"/>
  <c r="M291" i="2"/>
  <c r="L291" i="2"/>
  <c r="I291" i="2"/>
  <c r="F291" i="2"/>
  <c r="E291" i="2"/>
  <c r="G291" i="2" s="1"/>
  <c r="H291" i="2" s="1"/>
  <c r="D291" i="2"/>
  <c r="C291" i="2"/>
  <c r="B291" i="2"/>
  <c r="A291" i="2"/>
  <c r="P290" i="2"/>
  <c r="O290" i="2"/>
  <c r="N290" i="2"/>
  <c r="M290" i="2"/>
  <c r="L290" i="2"/>
  <c r="J290" i="2"/>
  <c r="I290" i="2"/>
  <c r="F290" i="2"/>
  <c r="G290" i="2" s="1"/>
  <c r="H290" i="2" s="1"/>
  <c r="E290" i="2"/>
  <c r="D290" i="2"/>
  <c r="C290" i="2"/>
  <c r="B290" i="2"/>
  <c r="A290" i="2"/>
  <c r="P289" i="2"/>
  <c r="O289" i="2"/>
  <c r="N289" i="2"/>
  <c r="M289" i="2"/>
  <c r="L289" i="2"/>
  <c r="F289" i="2"/>
  <c r="E289" i="2"/>
  <c r="D289" i="2"/>
  <c r="C289" i="2"/>
  <c r="B289" i="2"/>
  <c r="A289" i="2"/>
  <c r="P288" i="2"/>
  <c r="O288" i="2"/>
  <c r="N288" i="2"/>
  <c r="M288" i="2"/>
  <c r="L288" i="2"/>
  <c r="F288" i="2"/>
  <c r="E288" i="2"/>
  <c r="G288" i="2" s="1"/>
  <c r="H288" i="2" s="1"/>
  <c r="D288" i="2"/>
  <c r="C288" i="2"/>
  <c r="B288" i="2"/>
  <c r="A288" i="2"/>
  <c r="P287" i="2"/>
  <c r="O287" i="2"/>
  <c r="N287" i="2"/>
  <c r="M287" i="2"/>
  <c r="L287" i="2"/>
  <c r="F287" i="2"/>
  <c r="G287" i="2" s="1"/>
  <c r="H287" i="2" s="1"/>
  <c r="E287" i="2"/>
  <c r="D287" i="2"/>
  <c r="C287" i="2"/>
  <c r="B287" i="2"/>
  <c r="A287" i="2"/>
  <c r="P286" i="2"/>
  <c r="O286" i="2"/>
  <c r="N286" i="2"/>
  <c r="M286" i="2"/>
  <c r="L286" i="2"/>
  <c r="K286" i="2"/>
  <c r="F286" i="2"/>
  <c r="E286" i="2"/>
  <c r="G286" i="2" s="1"/>
  <c r="H286" i="2" s="1"/>
  <c r="D286" i="2"/>
  <c r="C286" i="2"/>
  <c r="B286" i="2"/>
  <c r="A286" i="2"/>
  <c r="P285" i="2"/>
  <c r="O285" i="2"/>
  <c r="N285" i="2"/>
  <c r="M285" i="2"/>
  <c r="L285" i="2"/>
  <c r="F285" i="2"/>
  <c r="E285" i="2"/>
  <c r="D285" i="2"/>
  <c r="J285" i="2" s="1"/>
  <c r="C285" i="2"/>
  <c r="B285" i="2"/>
  <c r="A285" i="2"/>
  <c r="P284" i="2"/>
  <c r="O284" i="2"/>
  <c r="N284" i="2"/>
  <c r="M284" i="2"/>
  <c r="L284" i="2"/>
  <c r="I284" i="2"/>
  <c r="G284" i="2"/>
  <c r="H284" i="2" s="1"/>
  <c r="F284" i="2"/>
  <c r="J284" i="2" s="1"/>
  <c r="E284" i="2"/>
  <c r="D284" i="2"/>
  <c r="K284" i="2" s="1"/>
  <c r="C284" i="2"/>
  <c r="B284" i="2"/>
  <c r="A284" i="2"/>
  <c r="P283" i="2"/>
  <c r="O283" i="2"/>
  <c r="N283" i="2"/>
  <c r="M283" i="2"/>
  <c r="L283" i="2"/>
  <c r="I283" i="2"/>
  <c r="F283" i="2"/>
  <c r="E283" i="2"/>
  <c r="G283" i="2" s="1"/>
  <c r="D283" i="2"/>
  <c r="J283" i="2" s="1"/>
  <c r="C283" i="2"/>
  <c r="B283" i="2"/>
  <c r="A283" i="2"/>
  <c r="P282" i="2"/>
  <c r="O282" i="2"/>
  <c r="N282" i="2"/>
  <c r="M282" i="2"/>
  <c r="L282" i="2"/>
  <c r="F282" i="2"/>
  <c r="E282" i="2"/>
  <c r="G282" i="2" s="1"/>
  <c r="H282" i="2" s="1"/>
  <c r="D282" i="2"/>
  <c r="K282" i="2" s="1"/>
  <c r="C282" i="2"/>
  <c r="B282" i="2"/>
  <c r="A282" i="2"/>
  <c r="P281" i="2"/>
  <c r="O281" i="2"/>
  <c r="N281" i="2"/>
  <c r="M281" i="2"/>
  <c r="L281" i="2"/>
  <c r="F281" i="2"/>
  <c r="G281" i="2" s="1"/>
  <c r="H281" i="2" s="1"/>
  <c r="E281" i="2"/>
  <c r="D281" i="2"/>
  <c r="J281" i="2" s="1"/>
  <c r="C281" i="2"/>
  <c r="B281" i="2"/>
  <c r="A281" i="2"/>
  <c r="P280" i="2"/>
  <c r="O280" i="2"/>
  <c r="N280" i="2"/>
  <c r="M280" i="2"/>
  <c r="L280" i="2"/>
  <c r="F280" i="2"/>
  <c r="E280" i="2"/>
  <c r="G280" i="2" s="1"/>
  <c r="H280" i="2" s="1"/>
  <c r="D280" i="2"/>
  <c r="C280" i="2"/>
  <c r="B280" i="2"/>
  <c r="A280" i="2"/>
  <c r="P279" i="2"/>
  <c r="O279" i="2"/>
  <c r="N279" i="2"/>
  <c r="M279" i="2"/>
  <c r="L279" i="2"/>
  <c r="I279" i="2"/>
  <c r="H279" i="2"/>
  <c r="G279" i="2"/>
  <c r="K279" i="2" s="1"/>
  <c r="F279" i="2"/>
  <c r="E279" i="2"/>
  <c r="D279" i="2"/>
  <c r="C279" i="2"/>
  <c r="B279" i="2"/>
  <c r="A279" i="2"/>
  <c r="P278" i="2"/>
  <c r="O278" i="2"/>
  <c r="N278" i="2"/>
  <c r="M278" i="2"/>
  <c r="L278" i="2"/>
  <c r="G278" i="2"/>
  <c r="H278" i="2" s="1"/>
  <c r="F278" i="2"/>
  <c r="E278" i="2"/>
  <c r="D278" i="2"/>
  <c r="I278" i="2" s="1"/>
  <c r="C278" i="2"/>
  <c r="B278" i="2"/>
  <c r="A278" i="2"/>
  <c r="P277" i="2"/>
  <c r="O277" i="2"/>
  <c r="N277" i="2"/>
  <c r="M277" i="2"/>
  <c r="L277" i="2"/>
  <c r="F277" i="2"/>
  <c r="E277" i="2"/>
  <c r="G277" i="2" s="1"/>
  <c r="H277" i="2" s="1"/>
  <c r="D277" i="2"/>
  <c r="C277" i="2"/>
  <c r="B277" i="2"/>
  <c r="A277" i="2"/>
  <c r="P276" i="2"/>
  <c r="O276" i="2"/>
  <c r="N276" i="2"/>
  <c r="M276" i="2"/>
  <c r="L276" i="2"/>
  <c r="K276" i="2"/>
  <c r="J276" i="2"/>
  <c r="I276" i="2"/>
  <c r="F276" i="2"/>
  <c r="G276" i="2" s="1"/>
  <c r="H276" i="2" s="1"/>
  <c r="E276" i="2"/>
  <c r="D276" i="2"/>
  <c r="C276" i="2"/>
  <c r="B276" i="2"/>
  <c r="A276" i="2"/>
  <c r="P275" i="2"/>
  <c r="O275" i="2"/>
  <c r="N275" i="2"/>
  <c r="M275" i="2"/>
  <c r="L275" i="2"/>
  <c r="F275" i="2"/>
  <c r="E275" i="2"/>
  <c r="D275" i="2"/>
  <c r="C275" i="2"/>
  <c r="B275" i="2"/>
  <c r="A275" i="2"/>
  <c r="P274" i="2"/>
  <c r="O274" i="2"/>
  <c r="N274" i="2"/>
  <c r="M274" i="2"/>
  <c r="L274" i="2"/>
  <c r="K274" i="2"/>
  <c r="J274" i="2"/>
  <c r="I274" i="2"/>
  <c r="H274" i="2"/>
  <c r="F274" i="2"/>
  <c r="E274" i="2"/>
  <c r="G274" i="2" s="1"/>
  <c r="D274" i="2"/>
  <c r="C274" i="2"/>
  <c r="B274" i="2"/>
  <c r="A274" i="2"/>
  <c r="P273" i="2"/>
  <c r="O273" i="2"/>
  <c r="N273" i="2"/>
  <c r="M273" i="2"/>
  <c r="L273" i="2"/>
  <c r="I273" i="2"/>
  <c r="F273" i="2"/>
  <c r="G273" i="2" s="1"/>
  <c r="H273" i="2" s="1"/>
  <c r="E273" i="2"/>
  <c r="D273" i="2"/>
  <c r="C273" i="2"/>
  <c r="B273" i="2"/>
  <c r="A273" i="2"/>
  <c r="P272" i="2"/>
  <c r="O272" i="2"/>
  <c r="N272" i="2"/>
  <c r="M272" i="2"/>
  <c r="L272" i="2"/>
  <c r="J272" i="2"/>
  <c r="I272" i="2"/>
  <c r="G272" i="2"/>
  <c r="K272" i="2" s="1"/>
  <c r="F272" i="2"/>
  <c r="E272" i="2"/>
  <c r="D272" i="2"/>
  <c r="C272" i="2"/>
  <c r="B272" i="2"/>
  <c r="A272" i="2"/>
  <c r="P271" i="2"/>
  <c r="O271" i="2"/>
  <c r="N271" i="2"/>
  <c r="M271" i="2"/>
  <c r="L271" i="2"/>
  <c r="H271" i="2"/>
  <c r="F271" i="2"/>
  <c r="E271" i="2"/>
  <c r="G271" i="2" s="1"/>
  <c r="D271" i="2"/>
  <c r="C271" i="2"/>
  <c r="B271" i="2"/>
  <c r="A271" i="2"/>
  <c r="P270" i="2"/>
  <c r="O270" i="2"/>
  <c r="N270" i="2"/>
  <c r="M270" i="2"/>
  <c r="L270" i="2"/>
  <c r="I270" i="2"/>
  <c r="F270" i="2"/>
  <c r="J270" i="2" s="1"/>
  <c r="E270" i="2"/>
  <c r="D270" i="2"/>
  <c r="C270" i="2"/>
  <c r="B270" i="2"/>
  <c r="A270" i="2"/>
  <c r="P269" i="2"/>
  <c r="O269" i="2"/>
  <c r="N269" i="2"/>
  <c r="M269" i="2"/>
  <c r="L269" i="2"/>
  <c r="F269" i="2"/>
  <c r="G269" i="2" s="1"/>
  <c r="H269" i="2" s="1"/>
  <c r="E269" i="2"/>
  <c r="D269" i="2"/>
  <c r="C269" i="2"/>
  <c r="B269" i="2"/>
  <c r="A269" i="2"/>
  <c r="P268" i="2"/>
  <c r="O268" i="2"/>
  <c r="N268" i="2"/>
  <c r="M268" i="2"/>
  <c r="L268" i="2"/>
  <c r="I268" i="2"/>
  <c r="F268" i="2"/>
  <c r="J268" i="2" s="1"/>
  <c r="E268" i="2"/>
  <c r="G268" i="2" s="1"/>
  <c r="D268" i="2"/>
  <c r="C268" i="2"/>
  <c r="B268" i="2"/>
  <c r="A268" i="2"/>
  <c r="P267" i="2"/>
  <c r="O267" i="2"/>
  <c r="N267" i="2"/>
  <c r="M267" i="2"/>
  <c r="L267" i="2"/>
  <c r="F267" i="2"/>
  <c r="E267" i="2"/>
  <c r="G267" i="2" s="1"/>
  <c r="H267" i="2" s="1"/>
  <c r="D267" i="2"/>
  <c r="C267" i="2"/>
  <c r="B267" i="2"/>
  <c r="A267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P265" i="2"/>
  <c r="O265" i="2"/>
  <c r="N265" i="2"/>
  <c r="M265" i="2"/>
  <c r="L265" i="2"/>
  <c r="F265" i="2"/>
  <c r="E265" i="2"/>
  <c r="G265" i="2" s="1"/>
  <c r="H265" i="2" s="1"/>
  <c r="D265" i="2"/>
  <c r="C265" i="2"/>
  <c r="B265" i="2"/>
  <c r="A265" i="2"/>
  <c r="P264" i="2"/>
  <c r="O264" i="2"/>
  <c r="N264" i="2"/>
  <c r="M264" i="2"/>
  <c r="L264" i="2"/>
  <c r="I264" i="2"/>
  <c r="F264" i="2"/>
  <c r="J264" i="2" s="1"/>
  <c r="E264" i="2"/>
  <c r="D264" i="2"/>
  <c r="C264" i="2"/>
  <c r="B264" i="2"/>
  <c r="A264" i="2"/>
  <c r="P263" i="2"/>
  <c r="O263" i="2"/>
  <c r="N263" i="2"/>
  <c r="M263" i="2"/>
  <c r="L263" i="2"/>
  <c r="F263" i="2"/>
  <c r="E263" i="2"/>
  <c r="D263" i="2"/>
  <c r="C263" i="2"/>
  <c r="B263" i="2"/>
  <c r="A263" i="2"/>
  <c r="P262" i="2"/>
  <c r="O262" i="2"/>
  <c r="N262" i="2"/>
  <c r="M262" i="2"/>
  <c r="L262" i="2"/>
  <c r="F262" i="2"/>
  <c r="E262" i="2"/>
  <c r="G262" i="2" s="1"/>
  <c r="H262" i="2" s="1"/>
  <c r="D262" i="2"/>
  <c r="C262" i="2"/>
  <c r="B262" i="2"/>
  <c r="A262" i="2"/>
  <c r="P261" i="2"/>
  <c r="O261" i="2"/>
  <c r="N261" i="2"/>
  <c r="M261" i="2"/>
  <c r="L261" i="2"/>
  <c r="F261" i="2"/>
  <c r="E261" i="2"/>
  <c r="G261" i="2" s="1"/>
  <c r="H261" i="2" s="1"/>
  <c r="D261" i="2"/>
  <c r="C261" i="2"/>
  <c r="B261" i="2"/>
  <c r="A261" i="2"/>
  <c r="P260" i="2"/>
  <c r="O260" i="2"/>
  <c r="N260" i="2"/>
  <c r="M260" i="2"/>
  <c r="L260" i="2"/>
  <c r="F260" i="2"/>
  <c r="G260" i="2" s="1"/>
  <c r="H260" i="2" s="1"/>
  <c r="E260" i="2"/>
  <c r="D260" i="2"/>
  <c r="C260" i="2"/>
  <c r="B260" i="2"/>
  <c r="A260" i="2"/>
  <c r="P259" i="2"/>
  <c r="O259" i="2"/>
  <c r="N259" i="2"/>
  <c r="M259" i="2"/>
  <c r="L259" i="2"/>
  <c r="K259" i="2"/>
  <c r="I259" i="2"/>
  <c r="F259" i="2"/>
  <c r="E259" i="2"/>
  <c r="G259" i="2" s="1"/>
  <c r="H259" i="2" s="1"/>
  <c r="D259" i="2"/>
  <c r="J259" i="2" s="1"/>
  <c r="C259" i="2"/>
  <c r="B259" i="2"/>
  <c r="A259" i="2"/>
  <c r="P258" i="2"/>
  <c r="O258" i="2"/>
  <c r="N258" i="2"/>
  <c r="M258" i="2"/>
  <c r="L258" i="2"/>
  <c r="F258" i="2"/>
  <c r="E258" i="2"/>
  <c r="G258" i="2" s="1"/>
  <c r="H258" i="2" s="1"/>
  <c r="D258" i="2"/>
  <c r="K258" i="2" s="1"/>
  <c r="C258" i="2"/>
  <c r="B258" i="2"/>
  <c r="A258" i="2"/>
  <c r="P257" i="2"/>
  <c r="O257" i="2"/>
  <c r="N257" i="2"/>
  <c r="M257" i="2"/>
  <c r="L257" i="2"/>
  <c r="I257" i="2"/>
  <c r="H257" i="2"/>
  <c r="G257" i="2"/>
  <c r="F257" i="2"/>
  <c r="E257" i="2"/>
  <c r="D257" i="2"/>
  <c r="C257" i="2"/>
  <c r="B257" i="2"/>
  <c r="A257" i="2"/>
  <c r="P256" i="2"/>
  <c r="O256" i="2"/>
  <c r="N256" i="2"/>
  <c r="M256" i="2"/>
  <c r="L256" i="2"/>
  <c r="F256" i="2"/>
  <c r="E256" i="2"/>
  <c r="G256" i="2" s="1"/>
  <c r="H256" i="2" s="1"/>
  <c r="D256" i="2"/>
  <c r="C256" i="2"/>
  <c r="B256" i="2"/>
  <c r="A256" i="2"/>
  <c r="P255" i="2"/>
  <c r="O255" i="2"/>
  <c r="N255" i="2"/>
  <c r="M255" i="2"/>
  <c r="L255" i="2"/>
  <c r="F255" i="2"/>
  <c r="E255" i="2"/>
  <c r="D255" i="2"/>
  <c r="C255" i="2"/>
  <c r="B255" i="2"/>
  <c r="A255" i="2"/>
  <c r="P254" i="2"/>
  <c r="O254" i="2"/>
  <c r="N254" i="2"/>
  <c r="M254" i="2"/>
  <c r="L254" i="2"/>
  <c r="J254" i="2"/>
  <c r="I254" i="2"/>
  <c r="F254" i="2"/>
  <c r="E254" i="2"/>
  <c r="G254" i="2" s="1"/>
  <c r="H254" i="2" s="1"/>
  <c r="D254" i="2"/>
  <c r="K254" i="2" s="1"/>
  <c r="C254" i="2"/>
  <c r="B254" i="2"/>
  <c r="A254" i="2"/>
  <c r="P253" i="2"/>
  <c r="O253" i="2"/>
  <c r="N253" i="2"/>
  <c r="M253" i="2"/>
  <c r="L253" i="2"/>
  <c r="F253" i="2"/>
  <c r="E253" i="2"/>
  <c r="G253" i="2" s="1"/>
  <c r="H253" i="2" s="1"/>
  <c r="D253" i="2"/>
  <c r="C253" i="2"/>
  <c r="B253" i="2"/>
  <c r="A253" i="2"/>
  <c r="P252" i="2"/>
  <c r="O252" i="2"/>
  <c r="N252" i="2"/>
  <c r="M252" i="2"/>
  <c r="L252" i="2"/>
  <c r="F252" i="2"/>
  <c r="E252" i="2"/>
  <c r="G252" i="2" s="1"/>
  <c r="H252" i="2" s="1"/>
  <c r="D252" i="2"/>
  <c r="J252" i="2" s="1"/>
  <c r="C252" i="2"/>
  <c r="B252" i="2"/>
  <c r="A252" i="2"/>
  <c r="P251" i="2"/>
  <c r="O251" i="2"/>
  <c r="N251" i="2"/>
  <c r="M251" i="2"/>
  <c r="L251" i="2"/>
  <c r="I251" i="2"/>
  <c r="F251" i="2"/>
  <c r="E251" i="2"/>
  <c r="D251" i="2"/>
  <c r="C251" i="2"/>
  <c r="B251" i="2"/>
  <c r="A251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P249" i="2"/>
  <c r="O249" i="2"/>
  <c r="N249" i="2"/>
  <c r="M249" i="2"/>
  <c r="L249" i="2"/>
  <c r="K249" i="2"/>
  <c r="I249" i="2"/>
  <c r="G249" i="2"/>
  <c r="H249" i="2" s="1"/>
  <c r="F249" i="2"/>
  <c r="E249" i="2"/>
  <c r="D249" i="2"/>
  <c r="J249" i="2" s="1"/>
  <c r="C249" i="2"/>
  <c r="B249" i="2"/>
  <c r="A249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248" i="2"/>
  <c r="P247" i="2"/>
  <c r="O247" i="2"/>
  <c r="N247" i="2"/>
  <c r="M247" i="2"/>
  <c r="L247" i="2"/>
  <c r="I247" i="2"/>
  <c r="F247" i="2"/>
  <c r="G247" i="2" s="1"/>
  <c r="E247" i="2"/>
  <c r="D247" i="2"/>
  <c r="C247" i="2"/>
  <c r="B247" i="2"/>
  <c r="A247" i="2"/>
  <c r="P246" i="2"/>
  <c r="O246" i="2"/>
  <c r="N246" i="2"/>
  <c r="M246" i="2"/>
  <c r="L246" i="2"/>
  <c r="I246" i="2"/>
  <c r="H246" i="2"/>
  <c r="G246" i="2"/>
  <c r="F246" i="2"/>
  <c r="J246" i="2" s="1"/>
  <c r="E246" i="2"/>
  <c r="D246" i="2"/>
  <c r="C246" i="2"/>
  <c r="B246" i="2"/>
  <c r="A246" i="2"/>
  <c r="P245" i="2"/>
  <c r="O245" i="2"/>
  <c r="N245" i="2"/>
  <c r="M245" i="2"/>
  <c r="L245" i="2"/>
  <c r="G245" i="2"/>
  <c r="K245" i="2" s="1"/>
  <c r="F245" i="2"/>
  <c r="E245" i="2"/>
  <c r="I245" i="2" s="1"/>
  <c r="D245" i="2"/>
  <c r="C245" i="2"/>
  <c r="B245" i="2"/>
  <c r="A245" i="2"/>
  <c r="P244" i="2"/>
  <c r="O244" i="2"/>
  <c r="N244" i="2"/>
  <c r="M244" i="2"/>
  <c r="L244" i="2"/>
  <c r="I244" i="2"/>
  <c r="F244" i="2"/>
  <c r="E244" i="2"/>
  <c r="D244" i="2"/>
  <c r="C244" i="2"/>
  <c r="B244" i="2"/>
  <c r="A244" i="2"/>
  <c r="P243" i="2"/>
  <c r="O243" i="2"/>
  <c r="N243" i="2"/>
  <c r="M243" i="2"/>
  <c r="L243" i="2"/>
  <c r="I243" i="2"/>
  <c r="F243" i="2"/>
  <c r="G243" i="2" s="1"/>
  <c r="E243" i="2"/>
  <c r="D243" i="2"/>
  <c r="J243" i="2" s="1"/>
  <c r="C243" i="2"/>
  <c r="B243" i="2"/>
  <c r="A243" i="2"/>
  <c r="P242" i="2"/>
  <c r="O242" i="2"/>
  <c r="N242" i="2"/>
  <c r="M242" i="2"/>
  <c r="L242" i="2"/>
  <c r="G242" i="2"/>
  <c r="H242" i="2" s="1"/>
  <c r="F242" i="2"/>
  <c r="E242" i="2"/>
  <c r="D242" i="2"/>
  <c r="C242" i="2"/>
  <c r="B242" i="2"/>
  <c r="A242" i="2"/>
  <c r="P241" i="2"/>
  <c r="O241" i="2"/>
  <c r="N241" i="2"/>
  <c r="M241" i="2"/>
  <c r="L241" i="2"/>
  <c r="F241" i="2"/>
  <c r="E241" i="2"/>
  <c r="D241" i="2"/>
  <c r="C241" i="2"/>
  <c r="B241" i="2"/>
  <c r="A241" i="2"/>
  <c r="P240" i="2"/>
  <c r="O240" i="2"/>
  <c r="N240" i="2"/>
  <c r="M240" i="2"/>
  <c r="L240" i="2"/>
  <c r="F240" i="2"/>
  <c r="E240" i="2"/>
  <c r="G240" i="2" s="1"/>
  <c r="H240" i="2" s="1"/>
  <c r="D240" i="2"/>
  <c r="C240" i="2"/>
  <c r="B240" i="2"/>
  <c r="A240" i="2"/>
  <c r="P239" i="2"/>
  <c r="O239" i="2"/>
  <c r="N239" i="2"/>
  <c r="M239" i="2"/>
  <c r="L239" i="2"/>
  <c r="K239" i="2"/>
  <c r="I239" i="2"/>
  <c r="H239" i="2"/>
  <c r="G239" i="2"/>
  <c r="F239" i="2"/>
  <c r="E239" i="2"/>
  <c r="D239" i="2"/>
  <c r="J239" i="2" s="1"/>
  <c r="C239" i="2"/>
  <c r="B239" i="2"/>
  <c r="A239" i="2"/>
  <c r="P238" i="2"/>
  <c r="O238" i="2"/>
  <c r="N238" i="2"/>
  <c r="M238" i="2"/>
  <c r="L238" i="2"/>
  <c r="F238" i="2"/>
  <c r="E238" i="2"/>
  <c r="D238" i="2"/>
  <c r="C238" i="2"/>
  <c r="B238" i="2"/>
  <c r="A238" i="2"/>
  <c r="P237" i="2"/>
  <c r="O237" i="2"/>
  <c r="N237" i="2"/>
  <c r="M237" i="2"/>
  <c r="L237" i="2"/>
  <c r="I237" i="2"/>
  <c r="F237" i="2"/>
  <c r="G237" i="2" s="1"/>
  <c r="E237" i="2"/>
  <c r="D237" i="2"/>
  <c r="C237" i="2"/>
  <c r="B237" i="2"/>
  <c r="A237" i="2"/>
  <c r="P236" i="2"/>
  <c r="O236" i="2"/>
  <c r="N236" i="2"/>
  <c r="M236" i="2"/>
  <c r="L236" i="2"/>
  <c r="K236" i="2"/>
  <c r="F236" i="2"/>
  <c r="E236" i="2"/>
  <c r="G236" i="2" s="1"/>
  <c r="H236" i="2" s="1"/>
  <c r="D236" i="2"/>
  <c r="C236" i="2"/>
  <c r="B236" i="2"/>
  <c r="A236" i="2"/>
  <c r="P235" i="2"/>
  <c r="O235" i="2"/>
  <c r="N235" i="2"/>
  <c r="M235" i="2"/>
  <c r="L235" i="2"/>
  <c r="I235" i="2"/>
  <c r="F235" i="2"/>
  <c r="E235" i="2"/>
  <c r="D235" i="2"/>
  <c r="C235" i="2"/>
  <c r="B235" i="2"/>
  <c r="A235" i="2"/>
  <c r="P234" i="2"/>
  <c r="O234" i="2"/>
  <c r="N234" i="2"/>
  <c r="M234" i="2"/>
  <c r="L234" i="2"/>
  <c r="F234" i="2"/>
  <c r="E234" i="2"/>
  <c r="G234" i="2" s="1"/>
  <c r="H234" i="2" s="1"/>
  <c r="D234" i="2"/>
  <c r="C234" i="2"/>
  <c r="B234" i="2"/>
  <c r="A234" i="2"/>
  <c r="P233" i="2"/>
  <c r="O233" i="2"/>
  <c r="N233" i="2"/>
  <c r="M233" i="2"/>
  <c r="L233" i="2"/>
  <c r="F233" i="2"/>
  <c r="E233" i="2"/>
  <c r="G233" i="2" s="1"/>
  <c r="H233" i="2" s="1"/>
  <c r="D233" i="2"/>
  <c r="C233" i="2"/>
  <c r="B233" i="2"/>
  <c r="A233" i="2"/>
  <c r="P232" i="2"/>
  <c r="O232" i="2"/>
  <c r="N232" i="2"/>
  <c r="M232" i="2"/>
  <c r="L232" i="2"/>
  <c r="I232" i="2"/>
  <c r="H232" i="2"/>
  <c r="G232" i="2"/>
  <c r="F232" i="2"/>
  <c r="E232" i="2"/>
  <c r="D232" i="2"/>
  <c r="K232" i="2" s="1"/>
  <c r="C232" i="2"/>
  <c r="B232" i="2"/>
  <c r="A232" i="2"/>
  <c r="P231" i="2"/>
  <c r="O231" i="2"/>
  <c r="N231" i="2"/>
  <c r="M231" i="2"/>
  <c r="L231" i="2"/>
  <c r="G231" i="2"/>
  <c r="H231" i="2" s="1"/>
  <c r="F231" i="2"/>
  <c r="E231" i="2"/>
  <c r="D231" i="2"/>
  <c r="C231" i="2"/>
  <c r="B231" i="2"/>
  <c r="A231" i="2"/>
  <c r="P230" i="2"/>
  <c r="O230" i="2"/>
  <c r="N230" i="2"/>
  <c r="M230" i="2"/>
  <c r="L230" i="2"/>
  <c r="I230" i="2"/>
  <c r="H230" i="2"/>
  <c r="G230" i="2"/>
  <c r="F230" i="2"/>
  <c r="E230" i="2"/>
  <c r="D230" i="2"/>
  <c r="C230" i="2"/>
  <c r="B230" i="2"/>
  <c r="A230" i="2"/>
  <c r="P229" i="2"/>
  <c r="O229" i="2"/>
  <c r="N229" i="2"/>
  <c r="M229" i="2"/>
  <c r="L229" i="2"/>
  <c r="F229" i="2"/>
  <c r="E229" i="2"/>
  <c r="G229" i="2" s="1"/>
  <c r="H229" i="2" s="1"/>
  <c r="D229" i="2"/>
  <c r="J229" i="2" s="1"/>
  <c r="C229" i="2"/>
  <c r="B229" i="2"/>
  <c r="A229" i="2"/>
  <c r="P228" i="2"/>
  <c r="O228" i="2"/>
  <c r="N228" i="2"/>
  <c r="M228" i="2"/>
  <c r="L228" i="2"/>
  <c r="F228" i="2"/>
  <c r="E228" i="2"/>
  <c r="G228" i="2" s="1"/>
  <c r="H228" i="2" s="1"/>
  <c r="D228" i="2"/>
  <c r="C228" i="2"/>
  <c r="B228" i="2"/>
  <c r="A228" i="2"/>
  <c r="P227" i="2"/>
  <c r="O227" i="2"/>
  <c r="N227" i="2"/>
  <c r="M227" i="2"/>
  <c r="L227" i="2"/>
  <c r="I227" i="2"/>
  <c r="F227" i="2"/>
  <c r="E227" i="2"/>
  <c r="G227" i="2" s="1"/>
  <c r="K227" i="2" s="1"/>
  <c r="D227" i="2"/>
  <c r="C227" i="2"/>
  <c r="B227" i="2"/>
  <c r="A227" i="2"/>
  <c r="P226" i="2"/>
  <c r="O226" i="2"/>
  <c r="N226" i="2"/>
  <c r="M226" i="2"/>
  <c r="L226" i="2"/>
  <c r="F226" i="2"/>
  <c r="E226" i="2"/>
  <c r="G226" i="2" s="1"/>
  <c r="H226" i="2" s="1"/>
  <c r="D226" i="2"/>
  <c r="C226" i="2"/>
  <c r="B226" i="2"/>
  <c r="A226" i="2"/>
  <c r="P225" i="2"/>
  <c r="O225" i="2"/>
  <c r="N225" i="2"/>
  <c r="M225" i="2"/>
  <c r="L225" i="2"/>
  <c r="F225" i="2"/>
  <c r="E225" i="2"/>
  <c r="G225" i="2" s="1"/>
  <c r="H225" i="2" s="1"/>
  <c r="D225" i="2"/>
  <c r="J225" i="2" s="1"/>
  <c r="C225" i="2"/>
  <c r="B225" i="2"/>
  <c r="A225" i="2"/>
  <c r="P224" i="2"/>
  <c r="O224" i="2"/>
  <c r="N224" i="2"/>
  <c r="M224" i="2"/>
  <c r="L224" i="2"/>
  <c r="K224" i="2"/>
  <c r="I224" i="2"/>
  <c r="G224" i="2"/>
  <c r="H224" i="2" s="1"/>
  <c r="F224" i="2"/>
  <c r="E224" i="2"/>
  <c r="D224" i="2"/>
  <c r="J224" i="2" s="1"/>
  <c r="C224" i="2"/>
  <c r="B224" i="2"/>
  <c r="A224" i="2"/>
  <c r="P223" i="2"/>
  <c r="O223" i="2"/>
  <c r="N223" i="2"/>
  <c r="M223" i="2"/>
  <c r="L223" i="2"/>
  <c r="K223" i="2"/>
  <c r="I223" i="2"/>
  <c r="H223" i="2"/>
  <c r="G223" i="2"/>
  <c r="F223" i="2"/>
  <c r="E223" i="2"/>
  <c r="D223" i="2"/>
  <c r="C223" i="2"/>
  <c r="B223" i="2"/>
  <c r="A223" i="2"/>
  <c r="P222" i="2"/>
  <c r="O222" i="2"/>
  <c r="N222" i="2"/>
  <c r="M222" i="2"/>
  <c r="L222" i="2"/>
  <c r="J222" i="2"/>
  <c r="H222" i="2"/>
  <c r="G222" i="2"/>
  <c r="K222" i="2" s="1"/>
  <c r="F222" i="2"/>
  <c r="E222" i="2"/>
  <c r="D222" i="2"/>
  <c r="C222" i="2"/>
  <c r="B222" i="2"/>
  <c r="A222" i="2"/>
  <c r="P221" i="2"/>
  <c r="O221" i="2"/>
  <c r="N221" i="2"/>
  <c r="M221" i="2"/>
  <c r="L221" i="2"/>
  <c r="I221" i="2"/>
  <c r="H221" i="2"/>
  <c r="G221" i="2"/>
  <c r="K221" i="2" s="1"/>
  <c r="F221" i="2"/>
  <c r="E221" i="2"/>
  <c r="D221" i="2"/>
  <c r="C221" i="2"/>
  <c r="B221" i="2"/>
  <c r="A221" i="2"/>
  <c r="P220" i="2"/>
  <c r="O220" i="2"/>
  <c r="N220" i="2"/>
  <c r="M220" i="2"/>
  <c r="L220" i="2"/>
  <c r="G220" i="2"/>
  <c r="H220" i="2" s="1"/>
  <c r="F220" i="2"/>
  <c r="J220" i="2" s="1"/>
  <c r="E220" i="2"/>
  <c r="I220" i="2" s="1"/>
  <c r="D220" i="2"/>
  <c r="C220" i="2"/>
  <c r="B220" i="2"/>
  <c r="A220" i="2"/>
  <c r="P219" i="2"/>
  <c r="O219" i="2"/>
  <c r="N219" i="2"/>
  <c r="M219" i="2"/>
  <c r="L219" i="2"/>
  <c r="F219" i="2"/>
  <c r="E219" i="2"/>
  <c r="G219" i="2" s="1"/>
  <c r="H219" i="2" s="1"/>
  <c r="D219" i="2"/>
  <c r="C219" i="2"/>
  <c r="B219" i="2"/>
  <c r="A219" i="2"/>
  <c r="P218" i="2"/>
  <c r="O218" i="2"/>
  <c r="N218" i="2"/>
  <c r="M218" i="2"/>
  <c r="L218" i="2"/>
  <c r="J218" i="2"/>
  <c r="I218" i="2"/>
  <c r="F218" i="2"/>
  <c r="E218" i="2"/>
  <c r="G218" i="2" s="1"/>
  <c r="K218" i="2" s="1"/>
  <c r="D218" i="2"/>
  <c r="C218" i="2"/>
  <c r="B218" i="2"/>
  <c r="A218" i="2"/>
  <c r="P217" i="2"/>
  <c r="O217" i="2"/>
  <c r="N217" i="2"/>
  <c r="M217" i="2"/>
  <c r="L217" i="2"/>
  <c r="F217" i="2"/>
  <c r="E217" i="2"/>
  <c r="G217" i="2" s="1"/>
  <c r="H217" i="2" s="1"/>
  <c r="D217" i="2"/>
  <c r="C217" i="2"/>
  <c r="B217" i="2"/>
  <c r="A217" i="2"/>
  <c r="P216" i="2"/>
  <c r="O216" i="2"/>
  <c r="N216" i="2"/>
  <c r="M216" i="2"/>
  <c r="L216" i="2"/>
  <c r="F216" i="2"/>
  <c r="E216" i="2"/>
  <c r="G216" i="2" s="1"/>
  <c r="H216" i="2" s="1"/>
  <c r="D216" i="2"/>
  <c r="C216" i="2"/>
  <c r="B216" i="2"/>
  <c r="A216" i="2"/>
  <c r="P215" i="2"/>
  <c r="O215" i="2"/>
  <c r="N215" i="2"/>
  <c r="M215" i="2"/>
  <c r="L215" i="2"/>
  <c r="F215" i="2"/>
  <c r="E215" i="2"/>
  <c r="D215" i="2"/>
  <c r="J215" i="2" s="1"/>
  <c r="C215" i="2"/>
  <c r="B215" i="2"/>
  <c r="A215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214" i="2"/>
  <c r="P213" i="2"/>
  <c r="O213" i="2"/>
  <c r="N213" i="2"/>
  <c r="M213" i="2"/>
  <c r="L213" i="2"/>
  <c r="F213" i="2"/>
  <c r="E213" i="2"/>
  <c r="G213" i="2" s="1"/>
  <c r="H213" i="2" s="1"/>
  <c r="D213" i="2"/>
  <c r="J213" i="2" s="1"/>
  <c r="C213" i="2"/>
  <c r="B213" i="2"/>
  <c r="A213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212" i="2"/>
  <c r="P211" i="2"/>
  <c r="O211" i="2"/>
  <c r="N211" i="2"/>
  <c r="M211" i="2"/>
  <c r="L211" i="2"/>
  <c r="I211" i="2"/>
  <c r="H211" i="2"/>
  <c r="G211" i="2"/>
  <c r="F211" i="2"/>
  <c r="E211" i="2"/>
  <c r="D211" i="2"/>
  <c r="J211" i="2" s="1"/>
  <c r="C211" i="2"/>
  <c r="B211" i="2"/>
  <c r="A211" i="2"/>
  <c r="P210" i="2"/>
  <c r="O210" i="2"/>
  <c r="N210" i="2"/>
  <c r="M210" i="2"/>
  <c r="L210" i="2"/>
  <c r="K210" i="2"/>
  <c r="I210" i="2"/>
  <c r="H210" i="2"/>
  <c r="G210" i="2"/>
  <c r="F210" i="2"/>
  <c r="J210" i="2" s="1"/>
  <c r="E210" i="2"/>
  <c r="D210" i="2"/>
  <c r="C210" i="2"/>
  <c r="B210" i="2"/>
  <c r="A210" i="2"/>
  <c r="P209" i="2"/>
  <c r="O209" i="2"/>
  <c r="N209" i="2"/>
  <c r="M209" i="2"/>
  <c r="L209" i="2"/>
  <c r="I209" i="2"/>
  <c r="F209" i="2"/>
  <c r="G209" i="2" s="1"/>
  <c r="H209" i="2" s="1"/>
  <c r="E209" i="2"/>
  <c r="D209" i="2"/>
  <c r="C209" i="2"/>
  <c r="B209" i="2"/>
  <c r="A209" i="2"/>
  <c r="P208" i="2"/>
  <c r="O208" i="2"/>
  <c r="N208" i="2"/>
  <c r="M208" i="2"/>
  <c r="L208" i="2"/>
  <c r="I208" i="2"/>
  <c r="F208" i="2"/>
  <c r="J208" i="2" s="1"/>
  <c r="E208" i="2"/>
  <c r="D208" i="2"/>
  <c r="C208" i="2"/>
  <c r="B208" i="2"/>
  <c r="A208" i="2"/>
  <c r="P207" i="2"/>
  <c r="O207" i="2"/>
  <c r="N207" i="2"/>
  <c r="M207" i="2"/>
  <c r="L207" i="2"/>
  <c r="G207" i="2"/>
  <c r="H207" i="2" s="1"/>
  <c r="F207" i="2"/>
  <c r="E207" i="2"/>
  <c r="D207" i="2"/>
  <c r="C207" i="2"/>
  <c r="B207" i="2"/>
  <c r="A207" i="2"/>
  <c r="P206" i="2"/>
  <c r="O206" i="2"/>
  <c r="N206" i="2"/>
  <c r="M206" i="2"/>
  <c r="L206" i="2"/>
  <c r="F206" i="2"/>
  <c r="E206" i="2"/>
  <c r="D206" i="2"/>
  <c r="J206" i="2" s="1"/>
  <c r="C206" i="2"/>
  <c r="B206" i="2"/>
  <c r="A206" i="2"/>
  <c r="P205" i="2"/>
  <c r="O205" i="2"/>
  <c r="N205" i="2"/>
  <c r="M205" i="2"/>
  <c r="L205" i="2"/>
  <c r="F205" i="2"/>
  <c r="E205" i="2"/>
  <c r="D205" i="2"/>
  <c r="C205" i="2"/>
  <c r="B205" i="2"/>
  <c r="A205" i="2"/>
  <c r="P204" i="2"/>
  <c r="O204" i="2"/>
  <c r="N204" i="2"/>
  <c r="M204" i="2"/>
  <c r="L204" i="2"/>
  <c r="F204" i="2"/>
  <c r="G204" i="2" s="1"/>
  <c r="H204" i="2" s="1"/>
  <c r="E204" i="2"/>
  <c r="D204" i="2"/>
  <c r="C204" i="2"/>
  <c r="B204" i="2"/>
  <c r="A204" i="2"/>
  <c r="P203" i="2"/>
  <c r="O203" i="2"/>
  <c r="N203" i="2"/>
  <c r="M203" i="2"/>
  <c r="L203" i="2"/>
  <c r="F203" i="2"/>
  <c r="E203" i="2"/>
  <c r="G203" i="2" s="1"/>
  <c r="H203" i="2" s="1"/>
  <c r="D203" i="2"/>
  <c r="C203" i="2"/>
  <c r="B203" i="2"/>
  <c r="A203" i="2"/>
  <c r="P202" i="2"/>
  <c r="O202" i="2"/>
  <c r="N202" i="2"/>
  <c r="M202" i="2"/>
  <c r="L202" i="2"/>
  <c r="F202" i="2"/>
  <c r="E202" i="2"/>
  <c r="G202" i="2" s="1"/>
  <c r="H202" i="2" s="1"/>
  <c r="D202" i="2"/>
  <c r="K202" i="2" s="1"/>
  <c r="C202" i="2"/>
  <c r="B202" i="2"/>
  <c r="A202" i="2"/>
  <c r="P201" i="2"/>
  <c r="O201" i="2"/>
  <c r="N201" i="2"/>
  <c r="M201" i="2"/>
  <c r="L201" i="2"/>
  <c r="F201" i="2"/>
  <c r="E201" i="2"/>
  <c r="G201" i="2" s="1"/>
  <c r="H201" i="2" s="1"/>
  <c r="D201" i="2"/>
  <c r="K201" i="2" s="1"/>
  <c r="C201" i="2"/>
  <c r="B201" i="2"/>
  <c r="A201" i="2"/>
  <c r="P200" i="2"/>
  <c r="O200" i="2"/>
  <c r="N200" i="2"/>
  <c r="M200" i="2"/>
  <c r="L200" i="2"/>
  <c r="J200" i="2"/>
  <c r="I200" i="2"/>
  <c r="F200" i="2"/>
  <c r="G200" i="2" s="1"/>
  <c r="H200" i="2" s="1"/>
  <c r="E200" i="2"/>
  <c r="D200" i="2"/>
  <c r="K200" i="2" s="1"/>
  <c r="C200" i="2"/>
  <c r="B200" i="2"/>
  <c r="A200" i="2"/>
  <c r="P199" i="2"/>
  <c r="O199" i="2"/>
  <c r="N199" i="2"/>
  <c r="M199" i="2"/>
  <c r="L199" i="2"/>
  <c r="K199" i="2"/>
  <c r="I199" i="2"/>
  <c r="G199" i="2"/>
  <c r="H199" i="2" s="1"/>
  <c r="F199" i="2"/>
  <c r="E199" i="2"/>
  <c r="D199" i="2"/>
  <c r="J199" i="2" s="1"/>
  <c r="C199" i="2"/>
  <c r="B199" i="2"/>
  <c r="A199" i="2"/>
  <c r="P198" i="2"/>
  <c r="O198" i="2"/>
  <c r="N198" i="2"/>
  <c r="M198" i="2"/>
  <c r="L198" i="2"/>
  <c r="G198" i="2"/>
  <c r="H198" i="2" s="1"/>
  <c r="F198" i="2"/>
  <c r="E198" i="2"/>
  <c r="D198" i="2"/>
  <c r="K198" i="2" s="1"/>
  <c r="C198" i="2"/>
  <c r="B198" i="2"/>
  <c r="A198" i="2"/>
  <c r="P197" i="2"/>
  <c r="O197" i="2"/>
  <c r="N197" i="2"/>
  <c r="M197" i="2"/>
  <c r="L197" i="2"/>
  <c r="K197" i="2"/>
  <c r="I197" i="2"/>
  <c r="H197" i="2"/>
  <c r="F197" i="2"/>
  <c r="E197" i="2"/>
  <c r="G197" i="2" s="1"/>
  <c r="D197" i="2"/>
  <c r="C197" i="2"/>
  <c r="B197" i="2"/>
  <c r="A197" i="2"/>
  <c r="P196" i="2"/>
  <c r="O196" i="2"/>
  <c r="N196" i="2"/>
  <c r="M196" i="2"/>
  <c r="L196" i="2"/>
  <c r="F196" i="2"/>
  <c r="E196" i="2"/>
  <c r="D196" i="2"/>
  <c r="C196" i="2"/>
  <c r="B196" i="2"/>
  <c r="A196" i="2"/>
  <c r="P195" i="2"/>
  <c r="O195" i="2"/>
  <c r="N195" i="2"/>
  <c r="M195" i="2"/>
  <c r="L195" i="2"/>
  <c r="K195" i="2"/>
  <c r="I195" i="2"/>
  <c r="H195" i="2"/>
  <c r="G195" i="2"/>
  <c r="F195" i="2"/>
  <c r="E195" i="2"/>
  <c r="D195" i="2"/>
  <c r="J195" i="2" s="1"/>
  <c r="C195" i="2"/>
  <c r="B195" i="2"/>
  <c r="A195" i="2"/>
  <c r="P194" i="2"/>
  <c r="O194" i="2"/>
  <c r="N194" i="2"/>
  <c r="M194" i="2"/>
  <c r="L194" i="2"/>
  <c r="F194" i="2"/>
  <c r="E194" i="2"/>
  <c r="G194" i="2" s="1"/>
  <c r="H194" i="2" s="1"/>
  <c r="D194" i="2"/>
  <c r="C194" i="2"/>
  <c r="B194" i="2"/>
  <c r="A194" i="2"/>
  <c r="P193" i="2"/>
  <c r="O193" i="2"/>
  <c r="N193" i="2"/>
  <c r="M193" i="2"/>
  <c r="L193" i="2"/>
  <c r="J193" i="2"/>
  <c r="I193" i="2"/>
  <c r="G193" i="2"/>
  <c r="H193" i="2" s="1"/>
  <c r="F193" i="2"/>
  <c r="E193" i="2"/>
  <c r="D193" i="2"/>
  <c r="C193" i="2"/>
  <c r="B193" i="2"/>
  <c r="A193" i="2"/>
  <c r="P192" i="2"/>
  <c r="O192" i="2"/>
  <c r="N192" i="2"/>
  <c r="M192" i="2"/>
  <c r="L192" i="2"/>
  <c r="F192" i="2"/>
  <c r="E192" i="2"/>
  <c r="G192" i="2" s="1"/>
  <c r="H192" i="2" s="1"/>
  <c r="D192" i="2"/>
  <c r="J192" i="2" s="1"/>
  <c r="C192" i="2"/>
  <c r="B192" i="2"/>
  <c r="A192" i="2"/>
  <c r="P191" i="2"/>
  <c r="O191" i="2"/>
  <c r="N191" i="2"/>
  <c r="M191" i="2"/>
  <c r="L191" i="2"/>
  <c r="F191" i="2"/>
  <c r="J191" i="2" s="1"/>
  <c r="E191" i="2"/>
  <c r="D191" i="2"/>
  <c r="C191" i="2"/>
  <c r="B191" i="2"/>
  <c r="A191" i="2"/>
  <c r="P190" i="2"/>
  <c r="O190" i="2"/>
  <c r="N190" i="2"/>
  <c r="M190" i="2"/>
  <c r="L190" i="2"/>
  <c r="I190" i="2"/>
  <c r="H190" i="2"/>
  <c r="G190" i="2"/>
  <c r="F190" i="2"/>
  <c r="E190" i="2"/>
  <c r="D190" i="2"/>
  <c r="C190" i="2"/>
  <c r="B190" i="2"/>
  <c r="A190" i="2"/>
  <c r="P189" i="2"/>
  <c r="O189" i="2"/>
  <c r="N189" i="2"/>
  <c r="M189" i="2"/>
  <c r="L189" i="2"/>
  <c r="F189" i="2"/>
  <c r="E189" i="2"/>
  <c r="G189" i="2" s="1"/>
  <c r="H189" i="2" s="1"/>
  <c r="D189" i="2"/>
  <c r="C189" i="2"/>
  <c r="B189" i="2"/>
  <c r="A189" i="2"/>
  <c r="P188" i="2"/>
  <c r="O188" i="2"/>
  <c r="N188" i="2"/>
  <c r="M188" i="2"/>
  <c r="L188" i="2"/>
  <c r="G188" i="2"/>
  <c r="H188" i="2" s="1"/>
  <c r="F188" i="2"/>
  <c r="E188" i="2"/>
  <c r="D188" i="2"/>
  <c r="C188" i="2"/>
  <c r="B188" i="2"/>
  <c r="A188" i="2"/>
  <c r="P187" i="2"/>
  <c r="O187" i="2"/>
  <c r="N187" i="2"/>
  <c r="M187" i="2"/>
  <c r="L187" i="2"/>
  <c r="J187" i="2"/>
  <c r="F187" i="2"/>
  <c r="E187" i="2"/>
  <c r="G187" i="2" s="1"/>
  <c r="H187" i="2" s="1"/>
  <c r="D187" i="2"/>
  <c r="C187" i="2"/>
  <c r="B187" i="2"/>
  <c r="A187" i="2"/>
  <c r="P186" i="2"/>
  <c r="O186" i="2"/>
  <c r="N186" i="2"/>
  <c r="M186" i="2"/>
  <c r="L186" i="2"/>
  <c r="F186" i="2"/>
  <c r="E186" i="2"/>
  <c r="D186" i="2"/>
  <c r="C186" i="2"/>
  <c r="B186" i="2"/>
  <c r="A186" i="2"/>
  <c r="P185" i="2"/>
  <c r="O185" i="2"/>
  <c r="N185" i="2"/>
  <c r="M185" i="2"/>
  <c r="L185" i="2"/>
  <c r="F185" i="2"/>
  <c r="G185" i="2" s="1"/>
  <c r="H185" i="2" s="1"/>
  <c r="E185" i="2"/>
  <c r="D185" i="2"/>
  <c r="C185" i="2"/>
  <c r="B185" i="2"/>
  <c r="A185" i="2"/>
  <c r="P184" i="2"/>
  <c r="O184" i="2"/>
  <c r="N184" i="2"/>
  <c r="M184" i="2"/>
  <c r="L184" i="2"/>
  <c r="J184" i="2"/>
  <c r="F184" i="2"/>
  <c r="E184" i="2"/>
  <c r="G184" i="2" s="1"/>
  <c r="H184" i="2" s="1"/>
  <c r="D184" i="2"/>
  <c r="C184" i="2"/>
  <c r="B184" i="2"/>
  <c r="A184" i="2"/>
  <c r="P183" i="2"/>
  <c r="O183" i="2"/>
  <c r="N183" i="2"/>
  <c r="M183" i="2"/>
  <c r="L183" i="2"/>
  <c r="F183" i="2"/>
  <c r="E183" i="2"/>
  <c r="G183" i="2" s="1"/>
  <c r="H183" i="2" s="1"/>
  <c r="D183" i="2"/>
  <c r="J183" i="2" s="1"/>
  <c r="C183" i="2"/>
  <c r="B183" i="2"/>
  <c r="A183" i="2"/>
  <c r="P182" i="2"/>
  <c r="O182" i="2"/>
  <c r="N182" i="2"/>
  <c r="M182" i="2"/>
  <c r="L182" i="2"/>
  <c r="F182" i="2"/>
  <c r="E182" i="2"/>
  <c r="G182" i="2" s="1"/>
  <c r="H182" i="2" s="1"/>
  <c r="D182" i="2"/>
  <c r="C182" i="2"/>
  <c r="B182" i="2"/>
  <c r="A182" i="2"/>
  <c r="P181" i="2"/>
  <c r="O181" i="2"/>
  <c r="N181" i="2"/>
  <c r="M181" i="2"/>
  <c r="L181" i="2"/>
  <c r="J181" i="2"/>
  <c r="I181" i="2"/>
  <c r="H181" i="2"/>
  <c r="G181" i="2"/>
  <c r="F181" i="2"/>
  <c r="E181" i="2"/>
  <c r="D181" i="2"/>
  <c r="C181" i="2"/>
  <c r="B181" i="2"/>
  <c r="A181" i="2"/>
  <c r="P180" i="2"/>
  <c r="O180" i="2"/>
  <c r="N180" i="2"/>
  <c r="M180" i="2"/>
  <c r="L180" i="2"/>
  <c r="F180" i="2"/>
  <c r="E180" i="2"/>
  <c r="G180" i="2" s="1"/>
  <c r="H180" i="2" s="1"/>
  <c r="D180" i="2"/>
  <c r="K180" i="2" s="1"/>
  <c r="C180" i="2"/>
  <c r="B180" i="2"/>
  <c r="A180" i="2"/>
  <c r="P179" i="2"/>
  <c r="O179" i="2"/>
  <c r="N179" i="2"/>
  <c r="M179" i="2"/>
  <c r="L179" i="2"/>
  <c r="J179" i="2"/>
  <c r="G179" i="2"/>
  <c r="H179" i="2" s="1"/>
  <c r="F179" i="2"/>
  <c r="E179" i="2"/>
  <c r="I179" i="2" s="1"/>
  <c r="D179" i="2"/>
  <c r="C179" i="2"/>
  <c r="B179" i="2"/>
  <c r="A179" i="2"/>
  <c r="P178" i="2"/>
  <c r="O178" i="2"/>
  <c r="N178" i="2"/>
  <c r="M178" i="2"/>
  <c r="L178" i="2"/>
  <c r="I178" i="2"/>
  <c r="G178" i="2"/>
  <c r="H178" i="2" s="1"/>
  <c r="F178" i="2"/>
  <c r="E178" i="2"/>
  <c r="D178" i="2"/>
  <c r="K178" i="2" s="1"/>
  <c r="C178" i="2"/>
  <c r="B178" i="2"/>
  <c r="A178" i="2"/>
  <c r="P177" i="2"/>
  <c r="O177" i="2"/>
  <c r="N177" i="2"/>
  <c r="M177" i="2"/>
  <c r="L177" i="2"/>
  <c r="J177" i="2"/>
  <c r="G177" i="2"/>
  <c r="H177" i="2" s="1"/>
  <c r="F177" i="2"/>
  <c r="E177" i="2"/>
  <c r="D177" i="2"/>
  <c r="C177" i="2"/>
  <c r="B177" i="2"/>
  <c r="A177" i="2"/>
  <c r="P176" i="2"/>
  <c r="O176" i="2"/>
  <c r="N176" i="2"/>
  <c r="M176" i="2"/>
  <c r="L176" i="2"/>
  <c r="I176" i="2"/>
  <c r="G176" i="2"/>
  <c r="H176" i="2" s="1"/>
  <c r="F176" i="2"/>
  <c r="E176" i="2"/>
  <c r="D176" i="2"/>
  <c r="C176" i="2"/>
  <c r="B176" i="2"/>
  <c r="A176" i="2"/>
  <c r="P175" i="2"/>
  <c r="O175" i="2"/>
  <c r="N175" i="2"/>
  <c r="M175" i="2"/>
  <c r="L175" i="2"/>
  <c r="F175" i="2"/>
  <c r="E175" i="2"/>
  <c r="G175" i="2" s="1"/>
  <c r="H175" i="2" s="1"/>
  <c r="D175" i="2"/>
  <c r="J175" i="2" s="1"/>
  <c r="C175" i="2"/>
  <c r="B175" i="2"/>
  <c r="A175" i="2"/>
  <c r="P174" i="2"/>
  <c r="O174" i="2"/>
  <c r="N174" i="2"/>
  <c r="M174" i="2"/>
  <c r="L174" i="2"/>
  <c r="F174" i="2"/>
  <c r="E174" i="2"/>
  <c r="G174" i="2" s="1"/>
  <c r="H174" i="2" s="1"/>
  <c r="D174" i="2"/>
  <c r="C174" i="2"/>
  <c r="B174" i="2"/>
  <c r="A174" i="2"/>
  <c r="P173" i="2"/>
  <c r="O173" i="2"/>
  <c r="N173" i="2"/>
  <c r="M173" i="2"/>
  <c r="L173" i="2"/>
  <c r="F173" i="2"/>
  <c r="E173" i="2"/>
  <c r="G173" i="2" s="1"/>
  <c r="H173" i="2" s="1"/>
  <c r="D173" i="2"/>
  <c r="C173" i="2"/>
  <c r="B173" i="2"/>
  <c r="A173" i="2"/>
  <c r="P172" i="2"/>
  <c r="O172" i="2"/>
  <c r="N172" i="2"/>
  <c r="M172" i="2"/>
  <c r="L172" i="2"/>
  <c r="F172" i="2"/>
  <c r="E172" i="2"/>
  <c r="D172" i="2"/>
  <c r="C172" i="2"/>
  <c r="B172" i="2"/>
  <c r="A172" i="2"/>
  <c r="P171" i="2"/>
  <c r="O171" i="2"/>
  <c r="N171" i="2"/>
  <c r="M171" i="2"/>
  <c r="L171" i="2"/>
  <c r="F171" i="2"/>
  <c r="E171" i="2"/>
  <c r="G171" i="2" s="1"/>
  <c r="H171" i="2" s="1"/>
  <c r="D171" i="2"/>
  <c r="C171" i="2"/>
  <c r="B171" i="2"/>
  <c r="A171" i="2"/>
  <c r="P170" i="2"/>
  <c r="O170" i="2"/>
  <c r="N170" i="2"/>
  <c r="M170" i="2"/>
  <c r="L170" i="2"/>
  <c r="F170" i="2"/>
  <c r="E170" i="2"/>
  <c r="G170" i="2" s="1"/>
  <c r="D170" i="2"/>
  <c r="C170" i="2"/>
  <c r="B170" i="2"/>
  <c r="A170" i="2"/>
  <c r="P169" i="2"/>
  <c r="O169" i="2"/>
  <c r="N169" i="2"/>
  <c r="M169" i="2"/>
  <c r="L169" i="2"/>
  <c r="F169" i="2"/>
  <c r="G169" i="2" s="1"/>
  <c r="H169" i="2" s="1"/>
  <c r="E169" i="2"/>
  <c r="D169" i="2"/>
  <c r="C169" i="2"/>
  <c r="B169" i="2"/>
  <c r="A169" i="2"/>
  <c r="P168" i="2"/>
  <c r="O168" i="2"/>
  <c r="N168" i="2"/>
  <c r="M168" i="2"/>
  <c r="L168" i="2"/>
  <c r="J168" i="2"/>
  <c r="F168" i="2"/>
  <c r="E168" i="2"/>
  <c r="G168" i="2" s="1"/>
  <c r="H168" i="2" s="1"/>
  <c r="D168" i="2"/>
  <c r="C168" i="2"/>
  <c r="B168" i="2"/>
  <c r="A168" i="2"/>
  <c r="P167" i="2"/>
  <c r="O167" i="2"/>
  <c r="N167" i="2"/>
  <c r="M167" i="2"/>
  <c r="L167" i="2"/>
  <c r="F167" i="2"/>
  <c r="E167" i="2"/>
  <c r="G167" i="2" s="1"/>
  <c r="H167" i="2" s="1"/>
  <c r="D167" i="2"/>
  <c r="J167" i="2" s="1"/>
  <c r="C167" i="2"/>
  <c r="B167" i="2"/>
  <c r="A167" i="2"/>
  <c r="P166" i="2"/>
  <c r="O166" i="2"/>
  <c r="N166" i="2"/>
  <c r="M166" i="2"/>
  <c r="L166" i="2"/>
  <c r="J166" i="2"/>
  <c r="I166" i="2"/>
  <c r="F166" i="2"/>
  <c r="G166" i="2" s="1"/>
  <c r="H166" i="2" s="1"/>
  <c r="E166" i="2"/>
  <c r="D166" i="2"/>
  <c r="C166" i="2"/>
  <c r="B166" i="2"/>
  <c r="A166" i="2"/>
  <c r="P165" i="2"/>
  <c r="O165" i="2"/>
  <c r="N165" i="2"/>
  <c r="M165" i="2"/>
  <c r="L165" i="2"/>
  <c r="J165" i="2"/>
  <c r="I165" i="2"/>
  <c r="H165" i="2"/>
  <c r="G165" i="2"/>
  <c r="F165" i="2"/>
  <c r="E165" i="2"/>
  <c r="D165" i="2"/>
  <c r="C165" i="2"/>
  <c r="B165" i="2"/>
  <c r="A165" i="2"/>
  <c r="P164" i="2"/>
  <c r="O164" i="2"/>
  <c r="N164" i="2"/>
  <c r="M164" i="2"/>
  <c r="L164" i="2"/>
  <c r="J164" i="2"/>
  <c r="I164" i="2"/>
  <c r="F164" i="2"/>
  <c r="E164" i="2"/>
  <c r="G164" i="2" s="1"/>
  <c r="K164" i="2" s="1"/>
  <c r="D164" i="2"/>
  <c r="C164" i="2"/>
  <c r="B164" i="2"/>
  <c r="A164" i="2"/>
  <c r="P163" i="2"/>
  <c r="O163" i="2"/>
  <c r="N163" i="2"/>
  <c r="M163" i="2"/>
  <c r="L163" i="2"/>
  <c r="I163" i="2"/>
  <c r="H163" i="2"/>
  <c r="G163" i="2"/>
  <c r="F163" i="2"/>
  <c r="J163" i="2" s="1"/>
  <c r="E163" i="2"/>
  <c r="D163" i="2"/>
  <c r="C163" i="2"/>
  <c r="B163" i="2"/>
  <c r="A163" i="2"/>
  <c r="P162" i="2"/>
  <c r="O162" i="2"/>
  <c r="N162" i="2"/>
  <c r="M162" i="2"/>
  <c r="L162" i="2"/>
  <c r="J162" i="2"/>
  <c r="I162" i="2"/>
  <c r="H162" i="2"/>
  <c r="G162" i="2"/>
  <c r="K162" i="2" s="1"/>
  <c r="F162" i="2"/>
  <c r="E162" i="2"/>
  <c r="D162" i="2"/>
  <c r="C162" i="2"/>
  <c r="B162" i="2"/>
  <c r="A162" i="2"/>
  <c r="P161" i="2"/>
  <c r="O161" i="2"/>
  <c r="N161" i="2"/>
  <c r="M161" i="2"/>
  <c r="L161" i="2"/>
  <c r="J161" i="2"/>
  <c r="G161" i="2"/>
  <c r="H161" i="2" s="1"/>
  <c r="F161" i="2"/>
  <c r="E161" i="2"/>
  <c r="I161" i="2" s="1"/>
  <c r="D161" i="2"/>
  <c r="C161" i="2"/>
  <c r="B161" i="2"/>
  <c r="A161" i="2"/>
  <c r="P160" i="2"/>
  <c r="O160" i="2"/>
  <c r="N160" i="2"/>
  <c r="M160" i="2"/>
  <c r="L160" i="2"/>
  <c r="I160" i="2"/>
  <c r="G160" i="2"/>
  <c r="K160" i="2" s="1"/>
  <c r="F160" i="2"/>
  <c r="J160" i="2" s="1"/>
  <c r="E160" i="2"/>
  <c r="D160" i="2"/>
  <c r="C160" i="2"/>
  <c r="B160" i="2"/>
  <c r="A160" i="2"/>
  <c r="P159" i="2"/>
  <c r="O159" i="2"/>
  <c r="N159" i="2"/>
  <c r="M159" i="2"/>
  <c r="L159" i="2"/>
  <c r="F159" i="2"/>
  <c r="E159" i="2"/>
  <c r="G159" i="2" s="1"/>
  <c r="H159" i="2" s="1"/>
  <c r="D159" i="2"/>
  <c r="C159" i="2"/>
  <c r="B159" i="2"/>
  <c r="A159" i="2"/>
  <c r="P158" i="2"/>
  <c r="O158" i="2"/>
  <c r="N158" i="2"/>
  <c r="M158" i="2"/>
  <c r="L158" i="2"/>
  <c r="J158" i="2"/>
  <c r="F158" i="2"/>
  <c r="E158" i="2"/>
  <c r="I158" i="2" s="1"/>
  <c r="D158" i="2"/>
  <c r="C158" i="2"/>
  <c r="B158" i="2"/>
  <c r="A158" i="2"/>
  <c r="P157" i="2"/>
  <c r="O157" i="2"/>
  <c r="N157" i="2"/>
  <c r="M157" i="2"/>
  <c r="L157" i="2"/>
  <c r="F157" i="2"/>
  <c r="E157" i="2"/>
  <c r="D157" i="2"/>
  <c r="C157" i="2"/>
  <c r="B157" i="2"/>
  <c r="A157" i="2"/>
  <c r="P156" i="2"/>
  <c r="O156" i="2"/>
  <c r="N156" i="2"/>
  <c r="M156" i="2"/>
  <c r="L156" i="2"/>
  <c r="G156" i="2"/>
  <c r="H156" i="2" s="1"/>
  <c r="F156" i="2"/>
  <c r="E156" i="2"/>
  <c r="D156" i="2"/>
  <c r="J156" i="2" s="1"/>
  <c r="C156" i="2"/>
  <c r="B156" i="2"/>
  <c r="A156" i="2"/>
  <c r="P155" i="2"/>
  <c r="O155" i="2"/>
  <c r="N155" i="2"/>
  <c r="M155" i="2"/>
  <c r="L155" i="2"/>
  <c r="F155" i="2"/>
  <c r="E155" i="2"/>
  <c r="G155" i="2" s="1"/>
  <c r="H155" i="2" s="1"/>
  <c r="D155" i="2"/>
  <c r="C155" i="2"/>
  <c r="B155" i="2"/>
  <c r="A155" i="2"/>
  <c r="P154" i="2"/>
  <c r="O154" i="2"/>
  <c r="N154" i="2"/>
  <c r="M154" i="2"/>
  <c r="L154" i="2"/>
  <c r="F154" i="2"/>
  <c r="E154" i="2"/>
  <c r="G154" i="2" s="1"/>
  <c r="H154" i="2" s="1"/>
  <c r="D154" i="2"/>
  <c r="J154" i="2" s="1"/>
  <c r="C154" i="2"/>
  <c r="B154" i="2"/>
  <c r="A154" i="2"/>
  <c r="P153" i="2"/>
  <c r="O153" i="2"/>
  <c r="N153" i="2"/>
  <c r="M153" i="2"/>
  <c r="L153" i="2"/>
  <c r="F153" i="2"/>
  <c r="E153" i="2"/>
  <c r="G153" i="2" s="1"/>
  <c r="H153" i="2" s="1"/>
  <c r="D153" i="2"/>
  <c r="C153" i="2"/>
  <c r="B153" i="2"/>
  <c r="A153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P151" i="2"/>
  <c r="O151" i="2"/>
  <c r="N151" i="2"/>
  <c r="M151" i="2"/>
  <c r="L151" i="2"/>
  <c r="I151" i="2"/>
  <c r="F151" i="2"/>
  <c r="E151" i="2"/>
  <c r="G151" i="2" s="1"/>
  <c r="H151" i="2" s="1"/>
  <c r="D151" i="2"/>
  <c r="K151" i="2" s="1"/>
  <c r="C151" i="2"/>
  <c r="B151" i="2"/>
  <c r="A151" i="2"/>
  <c r="P150" i="2"/>
  <c r="O150" i="2"/>
  <c r="N150" i="2"/>
  <c r="M150" i="2"/>
  <c r="L150" i="2"/>
  <c r="K150" i="2"/>
  <c r="J150" i="2"/>
  <c r="H150" i="2"/>
  <c r="G150" i="2"/>
  <c r="F150" i="2"/>
  <c r="E150" i="2"/>
  <c r="I150" i="2" s="1"/>
  <c r="D150" i="2"/>
  <c r="C150" i="2"/>
  <c r="B150" i="2"/>
  <c r="A150" i="2"/>
  <c r="P149" i="2"/>
  <c r="O149" i="2"/>
  <c r="N149" i="2"/>
  <c r="M149" i="2"/>
  <c r="L149" i="2"/>
  <c r="F149" i="2"/>
  <c r="E149" i="2"/>
  <c r="G149" i="2" s="1"/>
  <c r="H149" i="2" s="1"/>
  <c r="D149" i="2"/>
  <c r="C149" i="2"/>
  <c r="B149" i="2"/>
  <c r="A149" i="2"/>
  <c r="P148" i="2"/>
  <c r="O148" i="2"/>
  <c r="N148" i="2"/>
  <c r="M148" i="2"/>
  <c r="L148" i="2"/>
  <c r="I148" i="2"/>
  <c r="F148" i="2"/>
  <c r="E148" i="2"/>
  <c r="D148" i="2"/>
  <c r="C148" i="2"/>
  <c r="B148" i="2"/>
  <c r="A148" i="2"/>
  <c r="P147" i="2"/>
  <c r="O147" i="2"/>
  <c r="N147" i="2"/>
  <c r="M147" i="2"/>
  <c r="L147" i="2"/>
  <c r="I147" i="2"/>
  <c r="H147" i="2"/>
  <c r="G147" i="2"/>
  <c r="F147" i="2"/>
  <c r="E147" i="2"/>
  <c r="D147" i="2"/>
  <c r="C147" i="2"/>
  <c r="B147" i="2"/>
  <c r="A147" i="2"/>
  <c r="P146" i="2"/>
  <c r="O146" i="2"/>
  <c r="N146" i="2"/>
  <c r="M146" i="2"/>
  <c r="L146" i="2"/>
  <c r="F146" i="2"/>
  <c r="J146" i="2" s="1"/>
  <c r="E146" i="2"/>
  <c r="D146" i="2"/>
  <c r="C146" i="2"/>
  <c r="B146" i="2"/>
  <c r="A146" i="2"/>
  <c r="P145" i="2"/>
  <c r="O145" i="2"/>
  <c r="N145" i="2"/>
  <c r="M145" i="2"/>
  <c r="L145" i="2"/>
  <c r="I145" i="2"/>
  <c r="F145" i="2"/>
  <c r="G145" i="2" s="1"/>
  <c r="H145" i="2" s="1"/>
  <c r="E145" i="2"/>
  <c r="D145" i="2"/>
  <c r="C145" i="2"/>
  <c r="B145" i="2"/>
  <c r="A145" i="2"/>
  <c r="P144" i="2"/>
  <c r="O144" i="2"/>
  <c r="N144" i="2"/>
  <c r="M144" i="2"/>
  <c r="L144" i="2"/>
  <c r="F144" i="2"/>
  <c r="E144" i="2"/>
  <c r="G144" i="2" s="1"/>
  <c r="H144" i="2" s="1"/>
  <c r="D144" i="2"/>
  <c r="C144" i="2"/>
  <c r="B144" i="2"/>
  <c r="A144" i="2"/>
  <c r="P143" i="2"/>
  <c r="O143" i="2"/>
  <c r="N143" i="2"/>
  <c r="M143" i="2"/>
  <c r="L143" i="2"/>
  <c r="F143" i="2"/>
  <c r="E143" i="2"/>
  <c r="G143" i="2" s="1"/>
  <c r="H143" i="2" s="1"/>
  <c r="D143" i="2"/>
  <c r="C143" i="2"/>
  <c r="B143" i="2"/>
  <c r="A143" i="2"/>
  <c r="P142" i="2"/>
  <c r="O142" i="2"/>
  <c r="N142" i="2"/>
  <c r="M142" i="2"/>
  <c r="L142" i="2"/>
  <c r="F142" i="2"/>
  <c r="G142" i="2" s="1"/>
  <c r="H142" i="2" s="1"/>
  <c r="E142" i="2"/>
  <c r="D142" i="2"/>
  <c r="C142" i="2"/>
  <c r="B142" i="2"/>
  <c r="A142" i="2"/>
  <c r="P141" i="2"/>
  <c r="O141" i="2"/>
  <c r="N141" i="2"/>
  <c r="M141" i="2"/>
  <c r="L141" i="2"/>
  <c r="F141" i="2"/>
  <c r="E141" i="2"/>
  <c r="D141" i="2"/>
  <c r="C141" i="2"/>
  <c r="B141" i="2"/>
  <c r="A141" i="2"/>
  <c r="P140" i="2"/>
  <c r="O140" i="2"/>
  <c r="N140" i="2"/>
  <c r="M140" i="2"/>
  <c r="L140" i="2"/>
  <c r="F140" i="2"/>
  <c r="E140" i="2"/>
  <c r="G140" i="2" s="1"/>
  <c r="H140" i="2" s="1"/>
  <c r="D140" i="2"/>
  <c r="K140" i="2" s="1"/>
  <c r="C140" i="2"/>
  <c r="B140" i="2"/>
  <c r="A140" i="2"/>
  <c r="P139" i="2"/>
  <c r="O139" i="2"/>
  <c r="N139" i="2"/>
  <c r="M139" i="2"/>
  <c r="L139" i="2"/>
  <c r="F139" i="2"/>
  <c r="E139" i="2"/>
  <c r="G139" i="2" s="1"/>
  <c r="H139" i="2" s="1"/>
  <c r="D139" i="2"/>
  <c r="C139" i="2"/>
  <c r="B139" i="2"/>
  <c r="A139" i="2"/>
  <c r="P138" i="2"/>
  <c r="O138" i="2"/>
  <c r="N138" i="2"/>
  <c r="M138" i="2"/>
  <c r="L138" i="2"/>
  <c r="J138" i="2"/>
  <c r="I138" i="2"/>
  <c r="F138" i="2"/>
  <c r="E138" i="2"/>
  <c r="G138" i="2" s="1"/>
  <c r="H138" i="2" s="1"/>
  <c r="D138" i="2"/>
  <c r="C138" i="2"/>
  <c r="B138" i="2"/>
  <c r="A138" i="2"/>
  <c r="P137" i="2"/>
  <c r="O137" i="2"/>
  <c r="N137" i="2"/>
  <c r="M137" i="2"/>
  <c r="L137" i="2"/>
  <c r="F137" i="2"/>
  <c r="E137" i="2"/>
  <c r="G137" i="2" s="1"/>
  <c r="H137" i="2" s="1"/>
  <c r="D137" i="2"/>
  <c r="C137" i="2"/>
  <c r="B137" i="2"/>
  <c r="A137" i="2"/>
  <c r="P136" i="2"/>
  <c r="O136" i="2"/>
  <c r="N136" i="2"/>
  <c r="M136" i="2"/>
  <c r="L136" i="2"/>
  <c r="F136" i="2"/>
  <c r="E136" i="2"/>
  <c r="G136" i="2" s="1"/>
  <c r="H136" i="2" s="1"/>
  <c r="D136" i="2"/>
  <c r="C136" i="2"/>
  <c r="B136" i="2"/>
  <c r="A136" i="2"/>
  <c r="P135" i="2"/>
  <c r="O135" i="2"/>
  <c r="N135" i="2"/>
  <c r="M135" i="2"/>
  <c r="L135" i="2"/>
  <c r="J135" i="2"/>
  <c r="I135" i="2"/>
  <c r="F135" i="2"/>
  <c r="G135" i="2" s="1"/>
  <c r="H135" i="2" s="1"/>
  <c r="E135" i="2"/>
  <c r="D135" i="2"/>
  <c r="C135" i="2"/>
  <c r="B135" i="2"/>
  <c r="A135" i="2"/>
  <c r="P134" i="2"/>
  <c r="O134" i="2"/>
  <c r="N134" i="2"/>
  <c r="M134" i="2"/>
  <c r="L134" i="2"/>
  <c r="J134" i="2"/>
  <c r="F134" i="2"/>
  <c r="E134" i="2"/>
  <c r="G134" i="2" s="1"/>
  <c r="D134" i="2"/>
  <c r="C134" i="2"/>
  <c r="B134" i="2"/>
  <c r="A134" i="2"/>
  <c r="P133" i="2"/>
  <c r="O133" i="2"/>
  <c r="N133" i="2"/>
  <c r="M133" i="2"/>
  <c r="L133" i="2"/>
  <c r="J133" i="2"/>
  <c r="I133" i="2"/>
  <c r="F133" i="2"/>
  <c r="E133" i="2"/>
  <c r="G133" i="2" s="1"/>
  <c r="H133" i="2" s="1"/>
  <c r="D133" i="2"/>
  <c r="C133" i="2"/>
  <c r="B133" i="2"/>
  <c r="A133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P131" i="2"/>
  <c r="O131" i="2"/>
  <c r="N131" i="2"/>
  <c r="M131" i="2"/>
  <c r="L131" i="2"/>
  <c r="J131" i="2"/>
  <c r="I131" i="2"/>
  <c r="H131" i="2"/>
  <c r="G131" i="2"/>
  <c r="F131" i="2"/>
  <c r="E131" i="2"/>
  <c r="D131" i="2"/>
  <c r="C131" i="2"/>
  <c r="B131" i="2"/>
  <c r="A131" i="2"/>
  <c r="P130" i="2"/>
  <c r="O130" i="2"/>
  <c r="N130" i="2"/>
  <c r="M130" i="2"/>
  <c r="L130" i="2"/>
  <c r="J130" i="2"/>
  <c r="I130" i="2"/>
  <c r="H130" i="2"/>
  <c r="G130" i="2"/>
  <c r="K130" i="2" s="1"/>
  <c r="F130" i="2"/>
  <c r="E130" i="2"/>
  <c r="D130" i="2"/>
  <c r="C130" i="2"/>
  <c r="B130" i="2"/>
  <c r="A130" i="2"/>
  <c r="P129" i="2"/>
  <c r="O129" i="2"/>
  <c r="N129" i="2"/>
  <c r="M129" i="2"/>
  <c r="L129" i="2"/>
  <c r="I129" i="2"/>
  <c r="H129" i="2"/>
  <c r="G129" i="2"/>
  <c r="F129" i="2"/>
  <c r="J129" i="2" s="1"/>
  <c r="E129" i="2"/>
  <c r="D129" i="2"/>
  <c r="C129" i="2"/>
  <c r="B129" i="2"/>
  <c r="A129" i="2"/>
  <c r="P128" i="2"/>
  <c r="O128" i="2"/>
  <c r="N128" i="2"/>
  <c r="M128" i="2"/>
  <c r="L128" i="2"/>
  <c r="J128" i="2"/>
  <c r="G128" i="2"/>
  <c r="H128" i="2" s="1"/>
  <c r="F128" i="2"/>
  <c r="E128" i="2"/>
  <c r="I128" i="2" s="1"/>
  <c r="D128" i="2"/>
  <c r="C128" i="2"/>
  <c r="B128" i="2"/>
  <c r="A128" i="2"/>
  <c r="P127" i="2"/>
  <c r="O127" i="2"/>
  <c r="N127" i="2"/>
  <c r="M127" i="2"/>
  <c r="L127" i="2"/>
  <c r="F127" i="2"/>
  <c r="J127" i="2" s="1"/>
  <c r="E127" i="2"/>
  <c r="I127" i="2" s="1"/>
  <c r="D127" i="2"/>
  <c r="C127" i="2"/>
  <c r="B127" i="2"/>
  <c r="A127" i="2"/>
  <c r="P126" i="2"/>
  <c r="O126" i="2"/>
  <c r="N126" i="2"/>
  <c r="M126" i="2"/>
  <c r="L126" i="2"/>
  <c r="G126" i="2"/>
  <c r="H126" i="2" s="1"/>
  <c r="F126" i="2"/>
  <c r="E126" i="2"/>
  <c r="D126" i="2"/>
  <c r="C126" i="2"/>
  <c r="B126" i="2"/>
  <c r="A126" i="2"/>
  <c r="P125" i="2"/>
  <c r="O125" i="2"/>
  <c r="N125" i="2"/>
  <c r="M125" i="2"/>
  <c r="L125" i="2"/>
  <c r="J125" i="2"/>
  <c r="I125" i="2"/>
  <c r="F125" i="2"/>
  <c r="E125" i="2"/>
  <c r="G125" i="2" s="1"/>
  <c r="H125" i="2" s="1"/>
  <c r="D125" i="2"/>
  <c r="C125" i="2"/>
  <c r="B125" i="2"/>
  <c r="A125" i="2"/>
  <c r="P124" i="2"/>
  <c r="O124" i="2"/>
  <c r="N124" i="2"/>
  <c r="M124" i="2"/>
  <c r="L124" i="2"/>
  <c r="F124" i="2"/>
  <c r="G124" i="2" s="1"/>
  <c r="H124" i="2" s="1"/>
  <c r="E124" i="2"/>
  <c r="D124" i="2"/>
  <c r="C124" i="2"/>
  <c r="B124" i="2"/>
  <c r="A124" i="2"/>
  <c r="P123" i="2"/>
  <c r="O123" i="2"/>
  <c r="N123" i="2"/>
  <c r="M123" i="2"/>
  <c r="L123" i="2"/>
  <c r="F123" i="2"/>
  <c r="E123" i="2"/>
  <c r="G123" i="2" s="1"/>
  <c r="H123" i="2" s="1"/>
  <c r="D123" i="2"/>
  <c r="C123" i="2"/>
  <c r="B123" i="2"/>
  <c r="A123" i="2"/>
  <c r="P122" i="2"/>
  <c r="O122" i="2"/>
  <c r="N122" i="2"/>
  <c r="M122" i="2"/>
  <c r="L122" i="2"/>
  <c r="F122" i="2"/>
  <c r="E122" i="2"/>
  <c r="G122" i="2" s="1"/>
  <c r="D122" i="2"/>
  <c r="C122" i="2"/>
  <c r="B122" i="2"/>
  <c r="A122" i="2"/>
  <c r="P121" i="2"/>
  <c r="O121" i="2"/>
  <c r="N121" i="2"/>
  <c r="M121" i="2"/>
  <c r="L121" i="2"/>
  <c r="J121" i="2"/>
  <c r="I121" i="2"/>
  <c r="H121" i="2"/>
  <c r="G121" i="2"/>
  <c r="F121" i="2"/>
  <c r="E121" i="2"/>
  <c r="D121" i="2"/>
  <c r="K121" i="2" s="1"/>
  <c r="C121" i="2"/>
  <c r="B121" i="2"/>
  <c r="A121" i="2"/>
  <c r="P120" i="2"/>
  <c r="O120" i="2"/>
  <c r="N120" i="2"/>
  <c r="M120" i="2"/>
  <c r="L120" i="2"/>
  <c r="F120" i="2"/>
  <c r="E120" i="2"/>
  <c r="G120" i="2" s="1"/>
  <c r="H120" i="2" s="1"/>
  <c r="D120" i="2"/>
  <c r="I120" i="2" s="1"/>
  <c r="C120" i="2"/>
  <c r="B120" i="2"/>
  <c r="A120" i="2"/>
  <c r="P119" i="2"/>
  <c r="O119" i="2"/>
  <c r="N119" i="2"/>
  <c r="M119" i="2"/>
  <c r="L119" i="2"/>
  <c r="J119" i="2"/>
  <c r="G119" i="2"/>
  <c r="H119" i="2" s="1"/>
  <c r="F119" i="2"/>
  <c r="E119" i="2"/>
  <c r="I119" i="2" s="1"/>
  <c r="D119" i="2"/>
  <c r="C119" i="2"/>
  <c r="B119" i="2"/>
  <c r="A119" i="2"/>
  <c r="P118" i="2"/>
  <c r="O118" i="2"/>
  <c r="N118" i="2"/>
  <c r="M118" i="2"/>
  <c r="L118" i="2"/>
  <c r="F118" i="2"/>
  <c r="E118" i="2"/>
  <c r="G118" i="2" s="1"/>
  <c r="H118" i="2" s="1"/>
  <c r="D118" i="2"/>
  <c r="K118" i="2" s="1"/>
  <c r="C118" i="2"/>
  <c r="B118" i="2"/>
  <c r="A118" i="2"/>
  <c r="P117" i="2"/>
  <c r="O117" i="2"/>
  <c r="N117" i="2"/>
  <c r="M117" i="2"/>
  <c r="L117" i="2"/>
  <c r="F117" i="2"/>
  <c r="E117" i="2"/>
  <c r="G117" i="2" s="1"/>
  <c r="H117" i="2" s="1"/>
  <c r="D117" i="2"/>
  <c r="C117" i="2"/>
  <c r="B117" i="2"/>
  <c r="A117" i="2"/>
  <c r="P116" i="2"/>
  <c r="O116" i="2"/>
  <c r="N116" i="2"/>
  <c r="M116" i="2"/>
  <c r="L116" i="2"/>
  <c r="I116" i="2"/>
  <c r="H116" i="2"/>
  <c r="F116" i="2"/>
  <c r="E116" i="2"/>
  <c r="G116" i="2" s="1"/>
  <c r="D116" i="2"/>
  <c r="K116" i="2" s="1"/>
  <c r="C116" i="2"/>
  <c r="B116" i="2"/>
  <c r="A116" i="2"/>
  <c r="P115" i="2"/>
  <c r="O115" i="2"/>
  <c r="N115" i="2"/>
  <c r="M115" i="2"/>
  <c r="L115" i="2"/>
  <c r="J115" i="2"/>
  <c r="G115" i="2"/>
  <c r="H115" i="2" s="1"/>
  <c r="F115" i="2"/>
  <c r="E115" i="2"/>
  <c r="D115" i="2"/>
  <c r="C115" i="2"/>
  <c r="B115" i="2"/>
  <c r="A115" i="2"/>
  <c r="P114" i="2"/>
  <c r="O114" i="2"/>
  <c r="N114" i="2"/>
  <c r="M114" i="2"/>
  <c r="L114" i="2"/>
  <c r="I114" i="2"/>
  <c r="H114" i="2"/>
  <c r="G114" i="2"/>
  <c r="F114" i="2"/>
  <c r="E114" i="2"/>
  <c r="D114" i="2"/>
  <c r="J114" i="2" s="1"/>
  <c r="C114" i="2"/>
  <c r="B114" i="2"/>
  <c r="A114" i="2"/>
  <c r="P113" i="2"/>
  <c r="O113" i="2"/>
  <c r="N113" i="2"/>
  <c r="M113" i="2"/>
  <c r="L113" i="2"/>
  <c r="F113" i="2"/>
  <c r="E113" i="2"/>
  <c r="G113" i="2" s="1"/>
  <c r="H113" i="2" s="1"/>
  <c r="D113" i="2"/>
  <c r="C113" i="2"/>
  <c r="B113" i="2"/>
  <c r="A113" i="2"/>
  <c r="P112" i="2"/>
  <c r="O112" i="2"/>
  <c r="N112" i="2"/>
  <c r="M112" i="2"/>
  <c r="L112" i="2"/>
  <c r="I112" i="2"/>
  <c r="F112" i="2"/>
  <c r="G112" i="2" s="1"/>
  <c r="H112" i="2" s="1"/>
  <c r="E112" i="2"/>
  <c r="D112" i="2"/>
  <c r="C112" i="2"/>
  <c r="B112" i="2"/>
  <c r="A112" i="2"/>
  <c r="P111" i="2"/>
  <c r="O111" i="2"/>
  <c r="N111" i="2"/>
  <c r="M111" i="2"/>
  <c r="L111" i="2"/>
  <c r="F111" i="2"/>
  <c r="E111" i="2"/>
  <c r="G111" i="2" s="1"/>
  <c r="H111" i="2" s="1"/>
  <c r="D111" i="2"/>
  <c r="C111" i="2"/>
  <c r="B111" i="2"/>
  <c r="A111" i="2"/>
  <c r="P110" i="2"/>
  <c r="O110" i="2"/>
  <c r="N110" i="2"/>
  <c r="M110" i="2"/>
  <c r="L110" i="2"/>
  <c r="G110" i="2"/>
  <c r="H110" i="2" s="1"/>
  <c r="F110" i="2"/>
  <c r="J110" i="2" s="1"/>
  <c r="E110" i="2"/>
  <c r="D110" i="2"/>
  <c r="C110" i="2"/>
  <c r="B110" i="2"/>
  <c r="A110" i="2"/>
  <c r="P109" i="2"/>
  <c r="O109" i="2"/>
  <c r="N109" i="2"/>
  <c r="M109" i="2"/>
  <c r="L109" i="2"/>
  <c r="F109" i="2"/>
  <c r="E109" i="2"/>
  <c r="G109" i="2" s="1"/>
  <c r="H109" i="2" s="1"/>
  <c r="D109" i="2"/>
  <c r="C109" i="2"/>
  <c r="B109" i="2"/>
  <c r="A109" i="2"/>
  <c r="P108" i="2"/>
  <c r="O108" i="2"/>
  <c r="N108" i="2"/>
  <c r="M108" i="2"/>
  <c r="L108" i="2"/>
  <c r="F108" i="2"/>
  <c r="E108" i="2"/>
  <c r="G108" i="2" s="1"/>
  <c r="H108" i="2" s="1"/>
  <c r="D108" i="2"/>
  <c r="C108" i="2"/>
  <c r="B108" i="2"/>
  <c r="A108" i="2"/>
  <c r="P107" i="2"/>
  <c r="O107" i="2"/>
  <c r="N107" i="2"/>
  <c r="M107" i="2"/>
  <c r="L107" i="2"/>
  <c r="F107" i="2"/>
  <c r="E107" i="2"/>
  <c r="D107" i="2"/>
  <c r="C107" i="2"/>
  <c r="B107" i="2"/>
  <c r="A107" i="2"/>
  <c r="P106" i="2"/>
  <c r="O106" i="2"/>
  <c r="N106" i="2"/>
  <c r="M106" i="2"/>
  <c r="L106" i="2"/>
  <c r="F106" i="2"/>
  <c r="E106" i="2"/>
  <c r="G106" i="2" s="1"/>
  <c r="D106" i="2"/>
  <c r="C106" i="2"/>
  <c r="B106" i="2"/>
  <c r="A106" i="2"/>
  <c r="P105" i="2"/>
  <c r="O105" i="2"/>
  <c r="N105" i="2"/>
  <c r="M105" i="2"/>
  <c r="L105" i="2"/>
  <c r="J105" i="2"/>
  <c r="I105" i="2"/>
  <c r="H105" i="2"/>
  <c r="G105" i="2"/>
  <c r="F105" i="2"/>
  <c r="E105" i="2"/>
  <c r="D105" i="2"/>
  <c r="K105" i="2" s="1"/>
  <c r="C105" i="2"/>
  <c r="B105" i="2"/>
  <c r="A105" i="2"/>
  <c r="P104" i="2"/>
  <c r="O104" i="2"/>
  <c r="N104" i="2"/>
  <c r="M104" i="2"/>
  <c r="L104" i="2"/>
  <c r="F104" i="2"/>
  <c r="E104" i="2"/>
  <c r="G104" i="2" s="1"/>
  <c r="H104" i="2" s="1"/>
  <c r="D104" i="2"/>
  <c r="I104" i="2" s="1"/>
  <c r="C104" i="2"/>
  <c r="B104" i="2"/>
  <c r="A104" i="2"/>
  <c r="P103" i="2"/>
  <c r="O103" i="2"/>
  <c r="N103" i="2"/>
  <c r="M103" i="2"/>
  <c r="L103" i="2"/>
  <c r="J103" i="2"/>
  <c r="H103" i="2"/>
  <c r="G103" i="2"/>
  <c r="F103" i="2"/>
  <c r="E103" i="2"/>
  <c r="I103" i="2" s="1"/>
  <c r="D103" i="2"/>
  <c r="C103" i="2"/>
  <c r="B103" i="2"/>
  <c r="A103" i="2"/>
  <c r="P102" i="2"/>
  <c r="O102" i="2"/>
  <c r="N102" i="2"/>
  <c r="M102" i="2"/>
  <c r="L102" i="2"/>
  <c r="J102" i="2"/>
  <c r="I102" i="2"/>
  <c r="F102" i="2"/>
  <c r="G102" i="2" s="1"/>
  <c r="H102" i="2" s="1"/>
  <c r="E102" i="2"/>
  <c r="D102" i="2"/>
  <c r="C102" i="2"/>
  <c r="B102" i="2"/>
  <c r="A102" i="2"/>
  <c r="P101" i="2"/>
  <c r="O101" i="2"/>
  <c r="N101" i="2"/>
  <c r="M101" i="2"/>
  <c r="L101" i="2"/>
  <c r="F101" i="2"/>
  <c r="E101" i="2"/>
  <c r="G101" i="2" s="1"/>
  <c r="H101" i="2" s="1"/>
  <c r="D101" i="2"/>
  <c r="C101" i="2"/>
  <c r="B101" i="2"/>
  <c r="A101" i="2"/>
  <c r="P100" i="2"/>
  <c r="O100" i="2"/>
  <c r="N100" i="2"/>
  <c r="M100" i="2"/>
  <c r="L100" i="2"/>
  <c r="J100" i="2"/>
  <c r="I100" i="2"/>
  <c r="F100" i="2"/>
  <c r="E100" i="2"/>
  <c r="G100" i="2" s="1"/>
  <c r="K100" i="2" s="1"/>
  <c r="D100" i="2"/>
  <c r="C100" i="2"/>
  <c r="B100" i="2"/>
  <c r="A100" i="2"/>
  <c r="P99" i="2"/>
  <c r="O99" i="2"/>
  <c r="N99" i="2"/>
  <c r="M99" i="2"/>
  <c r="L99" i="2"/>
  <c r="F99" i="2"/>
  <c r="E99" i="2"/>
  <c r="D99" i="2"/>
  <c r="C99" i="2"/>
  <c r="B99" i="2"/>
  <c r="A99" i="2"/>
  <c r="P98" i="2"/>
  <c r="O98" i="2"/>
  <c r="N98" i="2"/>
  <c r="M98" i="2"/>
  <c r="L98" i="2"/>
  <c r="J98" i="2"/>
  <c r="I98" i="2"/>
  <c r="G98" i="2"/>
  <c r="F98" i="2"/>
  <c r="E98" i="2"/>
  <c r="D98" i="2"/>
  <c r="C98" i="2"/>
  <c r="B98" i="2"/>
  <c r="A98" i="2"/>
  <c r="P97" i="2"/>
  <c r="O97" i="2"/>
  <c r="N97" i="2"/>
  <c r="M97" i="2"/>
  <c r="L97" i="2"/>
  <c r="J97" i="2"/>
  <c r="F97" i="2"/>
  <c r="E97" i="2"/>
  <c r="G97" i="2" s="1"/>
  <c r="H97" i="2" s="1"/>
  <c r="D97" i="2"/>
  <c r="C97" i="2"/>
  <c r="B97" i="2"/>
  <c r="A97" i="2"/>
  <c r="P96" i="2"/>
  <c r="O96" i="2"/>
  <c r="N96" i="2"/>
  <c r="M96" i="2"/>
  <c r="L96" i="2"/>
  <c r="I96" i="2"/>
  <c r="F96" i="2"/>
  <c r="E96" i="2"/>
  <c r="D96" i="2"/>
  <c r="C96" i="2"/>
  <c r="B96" i="2"/>
  <c r="A96" i="2"/>
  <c r="P95" i="2"/>
  <c r="O95" i="2"/>
  <c r="N95" i="2"/>
  <c r="M95" i="2"/>
  <c r="L95" i="2"/>
  <c r="F95" i="2"/>
  <c r="G95" i="2" s="1"/>
  <c r="H95" i="2" s="1"/>
  <c r="E95" i="2"/>
  <c r="D95" i="2"/>
  <c r="C95" i="2"/>
  <c r="B95" i="2"/>
  <c r="A95" i="2"/>
  <c r="P94" i="2"/>
  <c r="O94" i="2"/>
  <c r="N94" i="2"/>
  <c r="M94" i="2"/>
  <c r="L94" i="2"/>
  <c r="I94" i="2"/>
  <c r="F94" i="2"/>
  <c r="J94" i="2" s="1"/>
  <c r="E94" i="2"/>
  <c r="D94" i="2"/>
  <c r="C94" i="2"/>
  <c r="B94" i="2"/>
  <c r="A94" i="2"/>
  <c r="P93" i="2"/>
  <c r="O93" i="2"/>
  <c r="N93" i="2"/>
  <c r="M93" i="2"/>
  <c r="L93" i="2"/>
  <c r="F93" i="2"/>
  <c r="J93" i="2" s="1"/>
  <c r="E93" i="2"/>
  <c r="D93" i="2"/>
  <c r="C93" i="2"/>
  <c r="B93" i="2"/>
  <c r="A93" i="2"/>
  <c r="P92" i="2"/>
  <c r="O92" i="2"/>
  <c r="N92" i="2"/>
  <c r="M92" i="2"/>
  <c r="L92" i="2"/>
  <c r="I92" i="2"/>
  <c r="F92" i="2"/>
  <c r="J92" i="2" s="1"/>
  <c r="E92" i="2"/>
  <c r="D92" i="2"/>
  <c r="C92" i="2"/>
  <c r="B92" i="2"/>
  <c r="A92" i="2"/>
  <c r="P91" i="2"/>
  <c r="O91" i="2"/>
  <c r="N91" i="2"/>
  <c r="M91" i="2"/>
  <c r="L91" i="2"/>
  <c r="F91" i="2"/>
  <c r="E91" i="2"/>
  <c r="G91" i="2" s="1"/>
  <c r="H91" i="2" s="1"/>
  <c r="D91" i="2"/>
  <c r="C91" i="2"/>
  <c r="B91" i="2"/>
  <c r="A91" i="2"/>
  <c r="P90" i="2"/>
  <c r="O90" i="2"/>
  <c r="N90" i="2"/>
  <c r="M90" i="2"/>
  <c r="L90" i="2"/>
  <c r="J90" i="2"/>
  <c r="I90" i="2"/>
  <c r="G90" i="2"/>
  <c r="H90" i="2" s="1"/>
  <c r="F90" i="2"/>
  <c r="E90" i="2"/>
  <c r="D90" i="2"/>
  <c r="C90" i="2"/>
  <c r="B90" i="2"/>
  <c r="A90" i="2"/>
  <c r="P89" i="2"/>
  <c r="O89" i="2"/>
  <c r="N89" i="2"/>
  <c r="M89" i="2"/>
  <c r="L89" i="2"/>
  <c r="F89" i="2"/>
  <c r="G89" i="2" s="1"/>
  <c r="H89" i="2" s="1"/>
  <c r="E89" i="2"/>
  <c r="D89" i="2"/>
  <c r="C89" i="2"/>
  <c r="B89" i="2"/>
  <c r="A89" i="2"/>
  <c r="P88" i="2"/>
  <c r="O88" i="2"/>
  <c r="N88" i="2"/>
  <c r="M88" i="2"/>
  <c r="L88" i="2"/>
  <c r="I88" i="2"/>
  <c r="F88" i="2"/>
  <c r="G88" i="2" s="1"/>
  <c r="E88" i="2"/>
  <c r="D88" i="2"/>
  <c r="C88" i="2"/>
  <c r="B88" i="2"/>
  <c r="A88" i="2"/>
  <c r="P87" i="2"/>
  <c r="O87" i="2"/>
  <c r="N87" i="2"/>
  <c r="M87" i="2"/>
  <c r="L87" i="2"/>
  <c r="F87" i="2"/>
  <c r="E87" i="2"/>
  <c r="G87" i="2" s="1"/>
  <c r="H87" i="2" s="1"/>
  <c r="D87" i="2"/>
  <c r="C87" i="2"/>
  <c r="B87" i="2"/>
  <c r="A87" i="2"/>
  <c r="P86" i="2"/>
  <c r="O86" i="2"/>
  <c r="N86" i="2"/>
  <c r="M86" i="2"/>
  <c r="L86" i="2"/>
  <c r="K86" i="2"/>
  <c r="J86" i="2"/>
  <c r="I86" i="2"/>
  <c r="F86" i="2"/>
  <c r="G86" i="2" s="1"/>
  <c r="H86" i="2" s="1"/>
  <c r="E86" i="2"/>
  <c r="D86" i="2"/>
  <c r="C86" i="2"/>
  <c r="B86" i="2"/>
  <c r="A86" i="2"/>
  <c r="P85" i="2"/>
  <c r="O85" i="2"/>
  <c r="N85" i="2"/>
  <c r="M85" i="2"/>
  <c r="L85" i="2"/>
  <c r="F85" i="2"/>
  <c r="E85" i="2"/>
  <c r="G85" i="2" s="1"/>
  <c r="H85" i="2" s="1"/>
  <c r="D85" i="2"/>
  <c r="C85" i="2"/>
  <c r="B85" i="2"/>
  <c r="A85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P83" i="2"/>
  <c r="O83" i="2"/>
  <c r="N83" i="2"/>
  <c r="M83" i="2"/>
  <c r="L83" i="2"/>
  <c r="F83" i="2"/>
  <c r="E83" i="2"/>
  <c r="G83" i="2" s="1"/>
  <c r="H83" i="2" s="1"/>
  <c r="D83" i="2"/>
  <c r="C83" i="2"/>
  <c r="B83" i="2"/>
  <c r="A83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P81" i="2"/>
  <c r="O81" i="2"/>
  <c r="N81" i="2"/>
  <c r="M81" i="2"/>
  <c r="L81" i="2"/>
  <c r="F81" i="2"/>
  <c r="E81" i="2"/>
  <c r="G81" i="2" s="1"/>
  <c r="H81" i="2" s="1"/>
  <c r="D81" i="2"/>
  <c r="C81" i="2"/>
  <c r="B81" i="2"/>
  <c r="A81" i="2"/>
  <c r="P80" i="2"/>
  <c r="O80" i="2"/>
  <c r="N80" i="2"/>
  <c r="M80" i="2"/>
  <c r="L80" i="2"/>
  <c r="J80" i="2"/>
  <c r="I80" i="2"/>
  <c r="H80" i="2"/>
  <c r="G80" i="2"/>
  <c r="K80" i="2" s="1"/>
  <c r="F80" i="2"/>
  <c r="E80" i="2"/>
  <c r="D80" i="2"/>
  <c r="C80" i="2"/>
  <c r="B80" i="2"/>
  <c r="A80" i="2"/>
  <c r="P79" i="2"/>
  <c r="O79" i="2"/>
  <c r="N79" i="2"/>
  <c r="M79" i="2"/>
  <c r="L79" i="2"/>
  <c r="F79" i="2"/>
  <c r="E79" i="2"/>
  <c r="G79" i="2" s="1"/>
  <c r="H79" i="2" s="1"/>
  <c r="D79" i="2"/>
  <c r="I79" i="2" s="1"/>
  <c r="C79" i="2"/>
  <c r="B79" i="2"/>
  <c r="A79" i="2"/>
  <c r="P78" i="2"/>
  <c r="O78" i="2"/>
  <c r="N78" i="2"/>
  <c r="M78" i="2"/>
  <c r="L78" i="2"/>
  <c r="I78" i="2"/>
  <c r="G78" i="2"/>
  <c r="K78" i="2" s="1"/>
  <c r="F78" i="2"/>
  <c r="J78" i="2" s="1"/>
  <c r="E78" i="2"/>
  <c r="D78" i="2"/>
  <c r="C78" i="2"/>
  <c r="B78" i="2"/>
  <c r="A78" i="2"/>
  <c r="P77" i="2"/>
  <c r="O77" i="2"/>
  <c r="N77" i="2"/>
  <c r="M77" i="2"/>
  <c r="L77" i="2"/>
  <c r="G77" i="2"/>
  <c r="H77" i="2" s="1"/>
  <c r="F77" i="2"/>
  <c r="E77" i="2"/>
  <c r="D77" i="2"/>
  <c r="K77" i="2" s="1"/>
  <c r="C77" i="2"/>
  <c r="B77" i="2"/>
  <c r="A77" i="2"/>
  <c r="P76" i="2"/>
  <c r="O76" i="2"/>
  <c r="N76" i="2"/>
  <c r="M76" i="2"/>
  <c r="L76" i="2"/>
  <c r="I76" i="2"/>
  <c r="F76" i="2"/>
  <c r="G76" i="2" s="1"/>
  <c r="E76" i="2"/>
  <c r="D76" i="2"/>
  <c r="C76" i="2"/>
  <c r="B76" i="2"/>
  <c r="A76" i="2"/>
  <c r="P75" i="2"/>
  <c r="O75" i="2"/>
  <c r="N75" i="2"/>
  <c r="M75" i="2"/>
  <c r="L75" i="2"/>
  <c r="F75" i="2"/>
  <c r="E75" i="2"/>
  <c r="G75" i="2" s="1"/>
  <c r="H75" i="2" s="1"/>
  <c r="D75" i="2"/>
  <c r="C75" i="2"/>
  <c r="B75" i="2"/>
  <c r="A75" i="2"/>
  <c r="P74" i="2"/>
  <c r="O74" i="2"/>
  <c r="N74" i="2"/>
  <c r="M74" i="2"/>
  <c r="L74" i="2"/>
  <c r="J74" i="2"/>
  <c r="I74" i="2"/>
  <c r="G74" i="2"/>
  <c r="F74" i="2"/>
  <c r="E74" i="2"/>
  <c r="D74" i="2"/>
  <c r="C74" i="2"/>
  <c r="B74" i="2"/>
  <c r="A74" i="2"/>
  <c r="P73" i="2"/>
  <c r="O73" i="2"/>
  <c r="N73" i="2"/>
  <c r="M73" i="2"/>
  <c r="L73" i="2"/>
  <c r="J73" i="2"/>
  <c r="F73" i="2"/>
  <c r="E73" i="2"/>
  <c r="G73" i="2" s="1"/>
  <c r="H73" i="2" s="1"/>
  <c r="D73" i="2"/>
  <c r="C73" i="2"/>
  <c r="B73" i="2"/>
  <c r="A73" i="2"/>
  <c r="P72" i="2"/>
  <c r="O72" i="2"/>
  <c r="N72" i="2"/>
  <c r="M72" i="2"/>
  <c r="L72" i="2"/>
  <c r="I72" i="2"/>
  <c r="F72" i="2"/>
  <c r="E72" i="2"/>
  <c r="D72" i="2"/>
  <c r="C72" i="2"/>
  <c r="B72" i="2"/>
  <c r="A72" i="2"/>
  <c r="P71" i="2"/>
  <c r="O71" i="2"/>
  <c r="N71" i="2"/>
  <c r="M71" i="2"/>
  <c r="L71" i="2"/>
  <c r="J71" i="2"/>
  <c r="I71" i="2"/>
  <c r="F71" i="2"/>
  <c r="G71" i="2" s="1"/>
  <c r="H71" i="2" s="1"/>
  <c r="E71" i="2"/>
  <c r="D71" i="2"/>
  <c r="C71" i="2"/>
  <c r="B71" i="2"/>
  <c r="A71" i="2"/>
  <c r="P70" i="2"/>
  <c r="O70" i="2"/>
  <c r="N70" i="2"/>
  <c r="M70" i="2"/>
  <c r="L70" i="2"/>
  <c r="J70" i="2"/>
  <c r="I70" i="2"/>
  <c r="G70" i="2"/>
  <c r="K70" i="2" s="1"/>
  <c r="F70" i="2"/>
  <c r="E70" i="2"/>
  <c r="D70" i="2"/>
  <c r="C70" i="2"/>
  <c r="B70" i="2"/>
  <c r="A70" i="2"/>
  <c r="P69" i="2"/>
  <c r="O69" i="2"/>
  <c r="N69" i="2"/>
  <c r="M69" i="2"/>
  <c r="L69" i="2"/>
  <c r="J69" i="2"/>
  <c r="I69" i="2"/>
  <c r="F69" i="2"/>
  <c r="E69" i="2"/>
  <c r="G69" i="2" s="1"/>
  <c r="H69" i="2" s="1"/>
  <c r="D69" i="2"/>
  <c r="C69" i="2"/>
  <c r="B69" i="2"/>
  <c r="A69" i="2"/>
  <c r="P68" i="2"/>
  <c r="O68" i="2"/>
  <c r="N68" i="2"/>
  <c r="M68" i="2"/>
  <c r="L68" i="2"/>
  <c r="I68" i="2"/>
  <c r="F68" i="2"/>
  <c r="J68" i="2" s="1"/>
  <c r="E68" i="2"/>
  <c r="D68" i="2"/>
  <c r="C68" i="2"/>
  <c r="B68" i="2"/>
  <c r="A68" i="2"/>
  <c r="P67" i="2"/>
  <c r="O67" i="2"/>
  <c r="N67" i="2"/>
  <c r="M67" i="2"/>
  <c r="L67" i="2"/>
  <c r="G67" i="2"/>
  <c r="H67" i="2" s="1"/>
  <c r="F67" i="2"/>
  <c r="E67" i="2"/>
  <c r="D67" i="2"/>
  <c r="C67" i="2"/>
  <c r="B67" i="2"/>
  <c r="A67" i="2"/>
  <c r="P66" i="2"/>
  <c r="O66" i="2"/>
  <c r="N66" i="2"/>
  <c r="M66" i="2"/>
  <c r="L66" i="2"/>
  <c r="I66" i="2"/>
  <c r="F66" i="2"/>
  <c r="E66" i="2"/>
  <c r="D66" i="2"/>
  <c r="C66" i="2"/>
  <c r="B66" i="2"/>
  <c r="A66" i="2"/>
  <c r="P65" i="2"/>
  <c r="O65" i="2"/>
  <c r="N65" i="2"/>
  <c r="M65" i="2"/>
  <c r="L65" i="2"/>
  <c r="F65" i="2"/>
  <c r="G65" i="2" s="1"/>
  <c r="H65" i="2" s="1"/>
  <c r="E65" i="2"/>
  <c r="D65" i="2"/>
  <c r="C65" i="2"/>
  <c r="B65" i="2"/>
  <c r="A65" i="2"/>
  <c r="P64" i="2"/>
  <c r="O64" i="2"/>
  <c r="N64" i="2"/>
  <c r="M64" i="2"/>
  <c r="L64" i="2"/>
  <c r="J64" i="2"/>
  <c r="I64" i="2"/>
  <c r="G64" i="2"/>
  <c r="H64" i="2" s="1"/>
  <c r="F64" i="2"/>
  <c r="E64" i="2"/>
  <c r="D64" i="2"/>
  <c r="C64" i="2"/>
  <c r="B64" i="2"/>
  <c r="A64" i="2"/>
  <c r="P63" i="2"/>
  <c r="O63" i="2"/>
  <c r="N63" i="2"/>
  <c r="M63" i="2"/>
  <c r="L63" i="2"/>
  <c r="F63" i="2"/>
  <c r="E63" i="2"/>
  <c r="D63" i="2"/>
  <c r="C63" i="2"/>
  <c r="B63" i="2"/>
  <c r="A63" i="2"/>
  <c r="P62" i="2"/>
  <c r="O62" i="2"/>
  <c r="N62" i="2"/>
  <c r="M62" i="2"/>
  <c r="L62" i="2"/>
  <c r="J62" i="2"/>
  <c r="I62" i="2"/>
  <c r="F62" i="2"/>
  <c r="G62" i="2" s="1"/>
  <c r="E62" i="2"/>
  <c r="D62" i="2"/>
  <c r="C62" i="2"/>
  <c r="B62" i="2"/>
  <c r="A62" i="2"/>
  <c r="P61" i="2"/>
  <c r="O61" i="2"/>
  <c r="N61" i="2"/>
  <c r="M61" i="2"/>
  <c r="L61" i="2"/>
  <c r="F61" i="2"/>
  <c r="E61" i="2"/>
  <c r="G61" i="2" s="1"/>
  <c r="H61" i="2" s="1"/>
  <c r="D61" i="2"/>
  <c r="C61" i="2"/>
  <c r="B61" i="2"/>
  <c r="A61" i="2"/>
  <c r="P60" i="2"/>
  <c r="O60" i="2"/>
  <c r="N60" i="2"/>
  <c r="M60" i="2"/>
  <c r="L60" i="2"/>
  <c r="I60" i="2"/>
  <c r="F60" i="2"/>
  <c r="E60" i="2"/>
  <c r="D60" i="2"/>
  <c r="C60" i="2"/>
  <c r="B60" i="2"/>
  <c r="A60" i="2"/>
  <c r="P59" i="2"/>
  <c r="O59" i="2"/>
  <c r="N59" i="2"/>
  <c r="M59" i="2"/>
  <c r="L59" i="2"/>
  <c r="F59" i="2"/>
  <c r="E59" i="2"/>
  <c r="G59" i="2" s="1"/>
  <c r="H59" i="2" s="1"/>
  <c r="D59" i="2"/>
  <c r="C59" i="2"/>
  <c r="B59" i="2"/>
  <c r="A59" i="2"/>
  <c r="P58" i="2"/>
  <c r="O58" i="2"/>
  <c r="N58" i="2"/>
  <c r="M58" i="2"/>
  <c r="L58" i="2"/>
  <c r="J58" i="2"/>
  <c r="I58" i="2"/>
  <c r="G58" i="2"/>
  <c r="K58" i="2" s="1"/>
  <c r="F58" i="2"/>
  <c r="E58" i="2"/>
  <c r="D58" i="2"/>
  <c r="C58" i="2"/>
  <c r="B58" i="2"/>
  <c r="A58" i="2"/>
  <c r="P57" i="2"/>
  <c r="O57" i="2"/>
  <c r="N57" i="2"/>
  <c r="M57" i="2"/>
  <c r="L57" i="2"/>
  <c r="F57" i="2"/>
  <c r="E57" i="2"/>
  <c r="G57" i="2" s="1"/>
  <c r="H57" i="2" s="1"/>
  <c r="D57" i="2"/>
  <c r="J57" i="2" s="1"/>
  <c r="C57" i="2"/>
  <c r="B57" i="2"/>
  <c r="A57" i="2"/>
  <c r="P56" i="2"/>
  <c r="O56" i="2"/>
  <c r="N56" i="2"/>
  <c r="M56" i="2"/>
  <c r="L56" i="2"/>
  <c r="J56" i="2"/>
  <c r="I56" i="2"/>
  <c r="G56" i="2"/>
  <c r="K56" i="2" s="1"/>
  <c r="F56" i="2"/>
  <c r="E56" i="2"/>
  <c r="D56" i="2"/>
  <c r="C56" i="2"/>
  <c r="B56" i="2"/>
  <c r="A56" i="2"/>
  <c r="P55" i="2"/>
  <c r="O55" i="2"/>
  <c r="N55" i="2"/>
  <c r="M55" i="2"/>
  <c r="L55" i="2"/>
  <c r="F55" i="2"/>
  <c r="E55" i="2"/>
  <c r="G55" i="2" s="1"/>
  <c r="H55" i="2" s="1"/>
  <c r="D55" i="2"/>
  <c r="J55" i="2" s="1"/>
  <c r="C55" i="2"/>
  <c r="B55" i="2"/>
  <c r="A55" i="2"/>
  <c r="P54" i="2"/>
  <c r="O54" i="2"/>
  <c r="N54" i="2"/>
  <c r="M54" i="2"/>
  <c r="L54" i="2"/>
  <c r="J54" i="2"/>
  <c r="I54" i="2"/>
  <c r="G54" i="2"/>
  <c r="K54" i="2" s="1"/>
  <c r="F54" i="2"/>
  <c r="E54" i="2"/>
  <c r="D54" i="2"/>
  <c r="C54" i="2"/>
  <c r="B54" i="2"/>
  <c r="A54" i="2"/>
  <c r="P53" i="2"/>
  <c r="O53" i="2"/>
  <c r="N53" i="2"/>
  <c r="M53" i="2"/>
  <c r="L53" i="2"/>
  <c r="F53" i="2"/>
  <c r="E53" i="2"/>
  <c r="G53" i="2" s="1"/>
  <c r="H53" i="2" s="1"/>
  <c r="D53" i="2"/>
  <c r="J53" i="2" s="1"/>
  <c r="C53" i="2"/>
  <c r="B53" i="2"/>
  <c r="A53" i="2"/>
  <c r="P52" i="2"/>
  <c r="O52" i="2"/>
  <c r="N52" i="2"/>
  <c r="M52" i="2"/>
  <c r="L52" i="2"/>
  <c r="J52" i="2"/>
  <c r="I52" i="2"/>
  <c r="H52" i="2"/>
  <c r="G52" i="2"/>
  <c r="K52" i="2" s="1"/>
  <c r="F52" i="2"/>
  <c r="E52" i="2"/>
  <c r="D52" i="2"/>
  <c r="C52" i="2"/>
  <c r="B52" i="2"/>
  <c r="A52" i="2"/>
  <c r="P51" i="2"/>
  <c r="O51" i="2"/>
  <c r="N51" i="2"/>
  <c r="M51" i="2"/>
  <c r="L51" i="2"/>
  <c r="F51" i="2"/>
  <c r="E51" i="2"/>
  <c r="G51" i="2" s="1"/>
  <c r="H51" i="2" s="1"/>
  <c r="D51" i="2"/>
  <c r="J51" i="2" s="1"/>
  <c r="C51" i="2"/>
  <c r="B51" i="2"/>
  <c r="A51" i="2"/>
  <c r="P50" i="2"/>
  <c r="O50" i="2"/>
  <c r="N50" i="2"/>
  <c r="M50" i="2"/>
  <c r="L50" i="2"/>
  <c r="J50" i="2"/>
  <c r="I50" i="2"/>
  <c r="G50" i="2"/>
  <c r="K50" i="2" s="1"/>
  <c r="F50" i="2"/>
  <c r="E50" i="2"/>
  <c r="D50" i="2"/>
  <c r="C50" i="2"/>
  <c r="B50" i="2"/>
  <c r="A50" i="2"/>
  <c r="P49" i="2"/>
  <c r="O49" i="2"/>
  <c r="N49" i="2"/>
  <c r="M49" i="2"/>
  <c r="L49" i="2"/>
  <c r="F49" i="2"/>
  <c r="E49" i="2"/>
  <c r="G49" i="2" s="1"/>
  <c r="H49" i="2" s="1"/>
  <c r="D49" i="2"/>
  <c r="J49" i="2" s="1"/>
  <c r="C49" i="2"/>
  <c r="B49" i="2"/>
  <c r="A49" i="2"/>
  <c r="P48" i="2"/>
  <c r="O48" i="2"/>
  <c r="N48" i="2"/>
  <c r="M48" i="2"/>
  <c r="L48" i="2"/>
  <c r="J48" i="2"/>
  <c r="I48" i="2"/>
  <c r="H48" i="2"/>
  <c r="G48" i="2"/>
  <c r="K48" i="2" s="1"/>
  <c r="F48" i="2"/>
  <c r="E48" i="2"/>
  <c r="D48" i="2"/>
  <c r="C48" i="2"/>
  <c r="B48" i="2"/>
  <c r="A48" i="2"/>
  <c r="P47" i="2"/>
  <c r="O47" i="2"/>
  <c r="N47" i="2"/>
  <c r="M47" i="2"/>
  <c r="L47" i="2"/>
  <c r="F47" i="2"/>
  <c r="E47" i="2"/>
  <c r="G47" i="2" s="1"/>
  <c r="H47" i="2" s="1"/>
  <c r="D47" i="2"/>
  <c r="J47" i="2" s="1"/>
  <c r="C47" i="2"/>
  <c r="B47" i="2"/>
  <c r="A47" i="2"/>
  <c r="P46" i="2"/>
  <c r="O46" i="2"/>
  <c r="N46" i="2"/>
  <c r="M46" i="2"/>
  <c r="L46" i="2"/>
  <c r="J46" i="2"/>
  <c r="I46" i="2"/>
  <c r="G46" i="2"/>
  <c r="K46" i="2" s="1"/>
  <c r="F46" i="2"/>
  <c r="E46" i="2"/>
  <c r="D46" i="2"/>
  <c r="C46" i="2"/>
  <c r="B46" i="2"/>
  <c r="A46" i="2"/>
  <c r="P45" i="2"/>
  <c r="O45" i="2"/>
  <c r="N45" i="2"/>
  <c r="M45" i="2"/>
  <c r="L45" i="2"/>
  <c r="F45" i="2"/>
  <c r="E45" i="2"/>
  <c r="G45" i="2" s="1"/>
  <c r="H45" i="2" s="1"/>
  <c r="D45" i="2"/>
  <c r="J45" i="2" s="1"/>
  <c r="C45" i="2"/>
  <c r="B45" i="2"/>
  <c r="A45" i="2"/>
  <c r="P44" i="2"/>
  <c r="O44" i="2"/>
  <c r="N44" i="2"/>
  <c r="M44" i="2"/>
  <c r="L44" i="2"/>
  <c r="J44" i="2"/>
  <c r="I44" i="2"/>
  <c r="H44" i="2"/>
  <c r="G44" i="2"/>
  <c r="K44" i="2" s="1"/>
  <c r="F44" i="2"/>
  <c r="E44" i="2"/>
  <c r="D44" i="2"/>
  <c r="C44" i="2"/>
  <c r="B44" i="2"/>
  <c r="A44" i="2"/>
  <c r="P43" i="2"/>
  <c r="O43" i="2"/>
  <c r="N43" i="2"/>
  <c r="M43" i="2"/>
  <c r="L43" i="2"/>
  <c r="F43" i="2"/>
  <c r="E43" i="2"/>
  <c r="G43" i="2" s="1"/>
  <c r="H43" i="2" s="1"/>
  <c r="D43" i="2"/>
  <c r="J43" i="2" s="1"/>
  <c r="C43" i="2"/>
  <c r="B43" i="2"/>
  <c r="A43" i="2"/>
  <c r="P42" i="2"/>
  <c r="O42" i="2"/>
  <c r="N42" i="2"/>
  <c r="M42" i="2"/>
  <c r="L42" i="2"/>
  <c r="J42" i="2"/>
  <c r="I42" i="2"/>
  <c r="H42" i="2"/>
  <c r="G42" i="2"/>
  <c r="K42" i="2" s="1"/>
  <c r="F42" i="2"/>
  <c r="E42" i="2"/>
  <c r="D42" i="2"/>
  <c r="C42" i="2"/>
  <c r="B42" i="2"/>
  <c r="A42" i="2"/>
  <c r="P41" i="2"/>
  <c r="O41" i="2"/>
  <c r="N41" i="2"/>
  <c r="M41" i="2"/>
  <c r="L41" i="2"/>
  <c r="F41" i="2"/>
  <c r="E41" i="2"/>
  <c r="G41" i="2" s="1"/>
  <c r="H41" i="2" s="1"/>
  <c r="D41" i="2"/>
  <c r="J41" i="2" s="1"/>
  <c r="C41" i="2"/>
  <c r="B41" i="2"/>
  <c r="A41" i="2"/>
  <c r="P40" i="2"/>
  <c r="O40" i="2"/>
  <c r="N40" i="2"/>
  <c r="M40" i="2"/>
  <c r="L40" i="2"/>
  <c r="J40" i="2"/>
  <c r="I40" i="2"/>
  <c r="H40" i="2"/>
  <c r="G40" i="2"/>
  <c r="K40" i="2" s="1"/>
  <c r="F40" i="2"/>
  <c r="E40" i="2"/>
  <c r="D40" i="2"/>
  <c r="C40" i="2"/>
  <c r="B40" i="2"/>
  <c r="A40" i="2"/>
  <c r="P39" i="2"/>
  <c r="O39" i="2"/>
  <c r="N39" i="2"/>
  <c r="M39" i="2"/>
  <c r="L39" i="2"/>
  <c r="F39" i="2"/>
  <c r="E39" i="2"/>
  <c r="G39" i="2" s="1"/>
  <c r="H39" i="2" s="1"/>
  <c r="D39" i="2"/>
  <c r="J39" i="2" s="1"/>
  <c r="C39" i="2"/>
  <c r="B39" i="2"/>
  <c r="A39" i="2"/>
  <c r="P38" i="2"/>
  <c r="O38" i="2"/>
  <c r="N38" i="2"/>
  <c r="M38" i="2"/>
  <c r="L38" i="2"/>
  <c r="J38" i="2"/>
  <c r="I38" i="2"/>
  <c r="G38" i="2"/>
  <c r="K38" i="2" s="1"/>
  <c r="F38" i="2"/>
  <c r="E38" i="2"/>
  <c r="D38" i="2"/>
  <c r="C38" i="2"/>
  <c r="B38" i="2"/>
  <c r="A38" i="2"/>
  <c r="P37" i="2"/>
  <c r="O37" i="2"/>
  <c r="N37" i="2"/>
  <c r="M37" i="2"/>
  <c r="L37" i="2"/>
  <c r="F37" i="2"/>
  <c r="E37" i="2"/>
  <c r="G37" i="2" s="1"/>
  <c r="H37" i="2" s="1"/>
  <c r="D37" i="2"/>
  <c r="J37" i="2" s="1"/>
  <c r="C37" i="2"/>
  <c r="B37" i="2"/>
  <c r="A37" i="2"/>
  <c r="P36" i="2"/>
  <c r="O36" i="2"/>
  <c r="N36" i="2"/>
  <c r="M36" i="2"/>
  <c r="L36" i="2"/>
  <c r="J36" i="2"/>
  <c r="I36" i="2"/>
  <c r="H36" i="2"/>
  <c r="G36" i="2"/>
  <c r="K36" i="2" s="1"/>
  <c r="F36" i="2"/>
  <c r="E36" i="2"/>
  <c r="D36" i="2"/>
  <c r="C36" i="2"/>
  <c r="B36" i="2"/>
  <c r="A36" i="2"/>
  <c r="P35" i="2"/>
  <c r="O35" i="2"/>
  <c r="N35" i="2"/>
  <c r="M35" i="2"/>
  <c r="L35" i="2"/>
  <c r="F35" i="2"/>
  <c r="E35" i="2"/>
  <c r="G35" i="2" s="1"/>
  <c r="H35" i="2" s="1"/>
  <c r="D35" i="2"/>
  <c r="J35" i="2" s="1"/>
  <c r="C35" i="2"/>
  <c r="B35" i="2"/>
  <c r="A35" i="2"/>
  <c r="P34" i="2"/>
  <c r="O34" i="2"/>
  <c r="N34" i="2"/>
  <c r="M34" i="2"/>
  <c r="L34" i="2"/>
  <c r="J34" i="2"/>
  <c r="I34" i="2"/>
  <c r="G34" i="2"/>
  <c r="K34" i="2" s="1"/>
  <c r="F34" i="2"/>
  <c r="E34" i="2"/>
  <c r="D34" i="2"/>
  <c r="C34" i="2"/>
  <c r="B34" i="2"/>
  <c r="A34" i="2"/>
  <c r="P33" i="2"/>
  <c r="O33" i="2"/>
  <c r="N33" i="2"/>
  <c r="M33" i="2"/>
  <c r="L33" i="2"/>
  <c r="F33" i="2"/>
  <c r="E33" i="2"/>
  <c r="G33" i="2" s="1"/>
  <c r="H33" i="2" s="1"/>
  <c r="D33" i="2"/>
  <c r="J33" i="2" s="1"/>
  <c r="C33" i="2"/>
  <c r="B33" i="2"/>
  <c r="A33" i="2"/>
  <c r="P32" i="2"/>
  <c r="O32" i="2"/>
  <c r="N32" i="2"/>
  <c r="M32" i="2"/>
  <c r="L32" i="2"/>
  <c r="J32" i="2"/>
  <c r="I32" i="2"/>
  <c r="G32" i="2"/>
  <c r="K32" i="2" s="1"/>
  <c r="F32" i="2"/>
  <c r="E32" i="2"/>
  <c r="D32" i="2"/>
  <c r="C32" i="2"/>
  <c r="B32" i="2"/>
  <c r="A32" i="2"/>
  <c r="P31" i="2"/>
  <c r="O31" i="2"/>
  <c r="N31" i="2"/>
  <c r="M31" i="2"/>
  <c r="L31" i="2"/>
  <c r="F31" i="2"/>
  <c r="E31" i="2"/>
  <c r="G31" i="2" s="1"/>
  <c r="H31" i="2" s="1"/>
  <c r="D31" i="2"/>
  <c r="J31" i="2" s="1"/>
  <c r="C31" i="2"/>
  <c r="B31" i="2"/>
  <c r="A31" i="2"/>
  <c r="P30" i="2"/>
  <c r="O30" i="2"/>
  <c r="N30" i="2"/>
  <c r="M30" i="2"/>
  <c r="L30" i="2"/>
  <c r="J30" i="2"/>
  <c r="I30" i="2"/>
  <c r="G30" i="2"/>
  <c r="K30" i="2" s="1"/>
  <c r="F30" i="2"/>
  <c r="E30" i="2"/>
  <c r="D30" i="2"/>
  <c r="C30" i="2"/>
  <c r="B30" i="2"/>
  <c r="A30" i="2"/>
  <c r="P29" i="2"/>
  <c r="O29" i="2"/>
  <c r="N29" i="2"/>
  <c r="M29" i="2"/>
  <c r="L29" i="2"/>
  <c r="F29" i="2"/>
  <c r="E29" i="2"/>
  <c r="G29" i="2" s="1"/>
  <c r="H29" i="2" s="1"/>
  <c r="D29" i="2"/>
  <c r="J29" i="2" s="1"/>
  <c r="C29" i="2"/>
  <c r="B29" i="2"/>
  <c r="A29" i="2"/>
  <c r="P28" i="2"/>
  <c r="O28" i="2"/>
  <c r="N28" i="2"/>
  <c r="M28" i="2"/>
  <c r="L28" i="2"/>
  <c r="J28" i="2"/>
  <c r="I28" i="2"/>
  <c r="H28" i="2"/>
  <c r="G28" i="2"/>
  <c r="K28" i="2" s="1"/>
  <c r="F28" i="2"/>
  <c r="E28" i="2"/>
  <c r="D28" i="2"/>
  <c r="C28" i="2"/>
  <c r="B28" i="2"/>
  <c r="A28" i="2"/>
  <c r="P27" i="2"/>
  <c r="O27" i="2"/>
  <c r="N27" i="2"/>
  <c r="M27" i="2"/>
  <c r="L27" i="2"/>
  <c r="F27" i="2"/>
  <c r="E27" i="2"/>
  <c r="G27" i="2" s="1"/>
  <c r="H27" i="2" s="1"/>
  <c r="D27" i="2"/>
  <c r="J27" i="2" s="1"/>
  <c r="C27" i="2"/>
  <c r="B27" i="2"/>
  <c r="A27" i="2"/>
  <c r="P26" i="2"/>
  <c r="O26" i="2"/>
  <c r="N26" i="2"/>
  <c r="M26" i="2"/>
  <c r="L26" i="2"/>
  <c r="J26" i="2"/>
  <c r="I26" i="2"/>
  <c r="G26" i="2"/>
  <c r="K26" i="2" s="1"/>
  <c r="F26" i="2"/>
  <c r="E26" i="2"/>
  <c r="D26" i="2"/>
  <c r="C26" i="2"/>
  <c r="B26" i="2"/>
  <c r="A26" i="2"/>
  <c r="P25" i="2"/>
  <c r="O25" i="2"/>
  <c r="N25" i="2"/>
  <c r="M25" i="2"/>
  <c r="L25" i="2"/>
  <c r="F25" i="2"/>
  <c r="E25" i="2"/>
  <c r="G25" i="2" s="1"/>
  <c r="H25" i="2" s="1"/>
  <c r="D25" i="2"/>
  <c r="J25" i="2" s="1"/>
  <c r="C25" i="2"/>
  <c r="B25" i="2"/>
  <c r="A25" i="2"/>
  <c r="P24" i="2"/>
  <c r="O24" i="2"/>
  <c r="N24" i="2"/>
  <c r="M24" i="2"/>
  <c r="L24" i="2"/>
  <c r="J24" i="2"/>
  <c r="I24" i="2"/>
  <c r="G24" i="2"/>
  <c r="K24" i="2" s="1"/>
  <c r="F24" i="2"/>
  <c r="E24" i="2"/>
  <c r="D24" i="2"/>
  <c r="C24" i="2"/>
  <c r="B24" i="2"/>
  <c r="A24" i="2"/>
  <c r="P23" i="2"/>
  <c r="O23" i="2"/>
  <c r="N23" i="2"/>
  <c r="M23" i="2"/>
  <c r="L23" i="2"/>
  <c r="F23" i="2"/>
  <c r="E23" i="2"/>
  <c r="G23" i="2" s="1"/>
  <c r="H23" i="2" s="1"/>
  <c r="D23" i="2"/>
  <c r="J23" i="2" s="1"/>
  <c r="C23" i="2"/>
  <c r="B23" i="2"/>
  <c r="A23" i="2"/>
  <c r="P22" i="2"/>
  <c r="O22" i="2"/>
  <c r="N22" i="2"/>
  <c r="M22" i="2"/>
  <c r="L22" i="2"/>
  <c r="J22" i="2"/>
  <c r="I22" i="2"/>
  <c r="G22" i="2"/>
  <c r="K22" i="2" s="1"/>
  <c r="F22" i="2"/>
  <c r="E22" i="2"/>
  <c r="D22" i="2"/>
  <c r="C22" i="2"/>
  <c r="B22" i="2"/>
  <c r="A22" i="2"/>
  <c r="P21" i="2"/>
  <c r="O21" i="2"/>
  <c r="N21" i="2"/>
  <c r="M21" i="2"/>
  <c r="L21" i="2"/>
  <c r="F21" i="2"/>
  <c r="E21" i="2"/>
  <c r="G21" i="2" s="1"/>
  <c r="H21" i="2" s="1"/>
  <c r="D21" i="2"/>
  <c r="J21" i="2" s="1"/>
  <c r="C21" i="2"/>
  <c r="B21" i="2"/>
  <c r="A21" i="2"/>
  <c r="P20" i="2"/>
  <c r="O20" i="2"/>
  <c r="N20" i="2"/>
  <c r="M20" i="2"/>
  <c r="L20" i="2"/>
  <c r="J20" i="2"/>
  <c r="I20" i="2"/>
  <c r="H20" i="2"/>
  <c r="G20" i="2"/>
  <c r="K20" i="2" s="1"/>
  <c r="F20" i="2"/>
  <c r="E20" i="2"/>
  <c r="D20" i="2"/>
  <c r="C20" i="2"/>
  <c r="B20" i="2"/>
  <c r="A20" i="2"/>
  <c r="P19" i="2"/>
  <c r="O19" i="2"/>
  <c r="N19" i="2"/>
  <c r="M19" i="2"/>
  <c r="L19" i="2"/>
  <c r="F19" i="2"/>
  <c r="E19" i="2"/>
  <c r="G19" i="2" s="1"/>
  <c r="H19" i="2" s="1"/>
  <c r="D19" i="2"/>
  <c r="J19" i="2" s="1"/>
  <c r="C19" i="2"/>
  <c r="B19" i="2"/>
  <c r="A19" i="2"/>
  <c r="P18" i="2"/>
  <c r="O18" i="2"/>
  <c r="N18" i="2"/>
  <c r="M18" i="2"/>
  <c r="L18" i="2"/>
  <c r="J18" i="2"/>
  <c r="I18" i="2"/>
  <c r="G18" i="2"/>
  <c r="K18" i="2" s="1"/>
  <c r="F18" i="2"/>
  <c r="E18" i="2"/>
  <c r="D18" i="2"/>
  <c r="C18" i="2"/>
  <c r="B18" i="2"/>
  <c r="A18" i="2"/>
  <c r="P17" i="2"/>
  <c r="O17" i="2"/>
  <c r="N17" i="2"/>
  <c r="M17" i="2"/>
  <c r="L17" i="2"/>
  <c r="F17" i="2"/>
  <c r="E17" i="2"/>
  <c r="G17" i="2" s="1"/>
  <c r="H17" i="2" s="1"/>
  <c r="D17" i="2"/>
  <c r="J17" i="2" s="1"/>
  <c r="C17" i="2"/>
  <c r="B17" i="2"/>
  <c r="A17" i="2"/>
  <c r="P16" i="2"/>
  <c r="O16" i="2"/>
  <c r="N16" i="2"/>
  <c r="M16" i="2"/>
  <c r="L16" i="2"/>
  <c r="J16" i="2"/>
  <c r="I16" i="2"/>
  <c r="H16" i="2"/>
  <c r="G16" i="2"/>
  <c r="K16" i="2" s="1"/>
  <c r="F16" i="2"/>
  <c r="E16" i="2"/>
  <c r="D16" i="2"/>
  <c r="C16" i="2"/>
  <c r="B16" i="2"/>
  <c r="A16" i="2"/>
  <c r="P15" i="2"/>
  <c r="O15" i="2"/>
  <c r="N15" i="2"/>
  <c r="M15" i="2"/>
  <c r="L15" i="2"/>
  <c r="F15" i="2"/>
  <c r="E15" i="2"/>
  <c r="G15" i="2" s="1"/>
  <c r="H15" i="2" s="1"/>
  <c r="D15" i="2"/>
  <c r="J15" i="2" s="1"/>
  <c r="C15" i="2"/>
  <c r="B15" i="2"/>
  <c r="A15" i="2"/>
  <c r="P14" i="2"/>
  <c r="O14" i="2"/>
  <c r="N14" i="2"/>
  <c r="M14" i="2"/>
  <c r="L14" i="2"/>
  <c r="J14" i="2"/>
  <c r="I14" i="2"/>
  <c r="G14" i="2"/>
  <c r="K14" i="2" s="1"/>
  <c r="F14" i="2"/>
  <c r="E14" i="2"/>
  <c r="D14" i="2"/>
  <c r="C14" i="2"/>
  <c r="B14" i="2"/>
  <c r="A14" i="2"/>
  <c r="P13" i="2"/>
  <c r="O13" i="2"/>
  <c r="N13" i="2"/>
  <c r="M13" i="2"/>
  <c r="L13" i="2"/>
  <c r="F13" i="2"/>
  <c r="E13" i="2"/>
  <c r="G13" i="2" s="1"/>
  <c r="H13" i="2" s="1"/>
  <c r="D13" i="2"/>
  <c r="J13" i="2" s="1"/>
  <c r="C13" i="2"/>
  <c r="B13" i="2"/>
  <c r="A13" i="2"/>
  <c r="P12" i="2"/>
  <c r="O12" i="2"/>
  <c r="N12" i="2"/>
  <c r="M12" i="2"/>
  <c r="L12" i="2"/>
  <c r="J12" i="2"/>
  <c r="I12" i="2"/>
  <c r="H12" i="2"/>
  <c r="G12" i="2"/>
  <c r="K12" i="2" s="1"/>
  <c r="F12" i="2"/>
  <c r="E12" i="2"/>
  <c r="D12" i="2"/>
  <c r="C12" i="2"/>
  <c r="B12" i="2"/>
  <c r="A12" i="2"/>
  <c r="P11" i="2"/>
  <c r="O11" i="2"/>
  <c r="N11" i="2"/>
  <c r="M11" i="2"/>
  <c r="L11" i="2"/>
  <c r="F11" i="2"/>
  <c r="E11" i="2"/>
  <c r="G11" i="2" s="1"/>
  <c r="H11" i="2" s="1"/>
  <c r="D11" i="2"/>
  <c r="J11" i="2" s="1"/>
  <c r="C11" i="2"/>
  <c r="B11" i="2"/>
  <c r="A11" i="2"/>
  <c r="P10" i="2"/>
  <c r="O10" i="2"/>
  <c r="N10" i="2"/>
  <c r="M10" i="2"/>
  <c r="L10" i="2"/>
  <c r="J10" i="2"/>
  <c r="I10" i="2"/>
  <c r="H10" i="2"/>
  <c r="G10" i="2"/>
  <c r="K10" i="2" s="1"/>
  <c r="F10" i="2"/>
  <c r="E10" i="2"/>
  <c r="D10" i="2"/>
  <c r="C10" i="2"/>
  <c r="B10" i="2"/>
  <c r="A10" i="2"/>
  <c r="P9" i="2"/>
  <c r="O9" i="2"/>
  <c r="N9" i="2"/>
  <c r="M9" i="2"/>
  <c r="L9" i="2"/>
  <c r="F9" i="2"/>
  <c r="E9" i="2"/>
  <c r="D9" i="2"/>
  <c r="J9" i="2" s="1"/>
  <c r="C9" i="2"/>
  <c r="B9" i="2"/>
  <c r="A9" i="2"/>
  <c r="P8" i="2"/>
  <c r="O8" i="2"/>
  <c r="N8" i="2"/>
  <c r="M8" i="2"/>
  <c r="L8" i="2"/>
  <c r="F8" i="2"/>
  <c r="E8" i="2"/>
  <c r="D8" i="2"/>
  <c r="C8" i="2"/>
  <c r="B8" i="2"/>
  <c r="A8" i="2"/>
  <c r="P7" i="2"/>
  <c r="O7" i="2"/>
  <c r="N7" i="2"/>
  <c r="M7" i="2"/>
  <c r="L7" i="2"/>
  <c r="F7" i="2"/>
  <c r="E7" i="2"/>
  <c r="D7" i="2"/>
  <c r="C7" i="2"/>
  <c r="B7" i="2"/>
  <c r="A7" i="2"/>
  <c r="P6" i="2"/>
  <c r="O6" i="2"/>
  <c r="N6" i="2"/>
  <c r="M6" i="2"/>
  <c r="L6" i="2"/>
  <c r="F6" i="2"/>
  <c r="E6" i="2"/>
  <c r="G6" i="2" s="1"/>
  <c r="D6" i="2"/>
  <c r="C6" i="2"/>
  <c r="B6" i="2"/>
  <c r="A6" i="2"/>
  <c r="P5" i="2"/>
  <c r="O5" i="2"/>
  <c r="N5" i="2"/>
  <c r="M5" i="2"/>
  <c r="L5" i="2"/>
  <c r="F5" i="2"/>
  <c r="E5" i="2"/>
  <c r="D5" i="2"/>
  <c r="C5" i="2"/>
  <c r="B5" i="2"/>
  <c r="A5" i="2"/>
  <c r="P4" i="2"/>
  <c r="O4" i="2"/>
  <c r="N4" i="2"/>
  <c r="M4" i="2"/>
  <c r="L4" i="2"/>
  <c r="F4" i="2"/>
  <c r="E4" i="2"/>
  <c r="D4" i="2"/>
  <c r="C4" i="2"/>
  <c r="B4" i="2"/>
  <c r="A4" i="2"/>
  <c r="P3" i="2"/>
  <c r="O3" i="2"/>
  <c r="N3" i="2"/>
  <c r="M3" i="2"/>
  <c r="L3" i="2"/>
  <c r="F3" i="2"/>
  <c r="E3" i="2"/>
  <c r="D3" i="2"/>
  <c r="C3" i="2"/>
  <c r="B3" i="2"/>
  <c r="A3" i="2"/>
  <c r="P2" i="2"/>
  <c r="O2" i="2"/>
  <c r="N2" i="2"/>
  <c r="M2" i="2"/>
  <c r="L2" i="2"/>
  <c r="F2" i="2"/>
  <c r="G2" i="2" s="1"/>
  <c r="E2" i="2"/>
  <c r="D2" i="2"/>
  <c r="J2" i="2" s="1"/>
  <c r="C2" i="2"/>
  <c r="B2" i="2"/>
  <c r="A2" i="2"/>
  <c r="G9" i="2" l="1"/>
  <c r="H9" i="2" s="1"/>
  <c r="I8" i="2"/>
  <c r="G8" i="2"/>
  <c r="K8" i="2" s="1"/>
  <c r="J8" i="2"/>
  <c r="J7" i="2"/>
  <c r="G7" i="2"/>
  <c r="H7" i="2" s="1"/>
  <c r="K6" i="2"/>
  <c r="I6" i="2"/>
  <c r="J6" i="2"/>
  <c r="G5" i="2"/>
  <c r="H5" i="2" s="1"/>
  <c r="J5" i="2"/>
  <c r="J4" i="2"/>
  <c r="G4" i="2"/>
  <c r="K4" i="2" s="1"/>
  <c r="H4" i="2"/>
  <c r="I4" i="2"/>
  <c r="J3" i="2"/>
  <c r="G3" i="2"/>
  <c r="H3" i="2" s="1"/>
  <c r="B8" i="3"/>
  <c r="K2" i="2"/>
  <c r="I2" i="2"/>
  <c r="H76" i="2"/>
  <c r="K76" i="2"/>
  <c r="K62" i="2"/>
  <c r="H62" i="2"/>
  <c r="H237" i="2"/>
  <c r="K237" i="2"/>
  <c r="H6" i="2"/>
  <c r="H38" i="2"/>
  <c r="H70" i="2"/>
  <c r="K95" i="2"/>
  <c r="J95" i="2"/>
  <c r="J148" i="2"/>
  <c r="K407" i="2"/>
  <c r="J407" i="2"/>
  <c r="I407" i="2"/>
  <c r="J420" i="2"/>
  <c r="K420" i="2"/>
  <c r="I63" i="2"/>
  <c r="G63" i="2"/>
  <c r="H63" i="2" s="1"/>
  <c r="K113" i="2"/>
  <c r="J113" i="2"/>
  <c r="I113" i="2"/>
  <c r="G148" i="2"/>
  <c r="K260" i="2"/>
  <c r="J260" i="2"/>
  <c r="I260" i="2"/>
  <c r="J273" i="2"/>
  <c r="K273" i="2"/>
  <c r="I307" i="2"/>
  <c r="G307" i="2"/>
  <c r="J346" i="2"/>
  <c r="I346" i="2"/>
  <c r="K346" i="2"/>
  <c r="H283" i="2"/>
  <c r="K283" i="2"/>
  <c r="I168" i="2"/>
  <c r="K168" i="2"/>
  <c r="J321" i="2"/>
  <c r="K321" i="2"/>
  <c r="I321" i="2"/>
  <c r="I420" i="2"/>
  <c r="H26" i="2"/>
  <c r="H58" i="2"/>
  <c r="I95" i="2"/>
  <c r="K146" i="2"/>
  <c r="H227" i="2"/>
  <c r="J368" i="2"/>
  <c r="K368" i="2"/>
  <c r="I368" i="2"/>
  <c r="K415" i="2"/>
  <c r="J415" i="2"/>
  <c r="I415" i="2"/>
  <c r="G68" i="2"/>
  <c r="K138" i="2"/>
  <c r="I184" i="2"/>
  <c r="K184" i="2"/>
  <c r="G235" i="2"/>
  <c r="H235" i="2" s="1"/>
  <c r="H268" i="2"/>
  <c r="K268" i="2"/>
  <c r="G289" i="2"/>
  <c r="H302" i="2"/>
  <c r="K302" i="2"/>
  <c r="K61" i="2"/>
  <c r="J61" i="2"/>
  <c r="I61" i="2"/>
  <c r="K85" i="2"/>
  <c r="J85" i="2"/>
  <c r="I85" i="2"/>
  <c r="K126" i="2"/>
  <c r="J126" i="2"/>
  <c r="I126" i="2"/>
  <c r="G146" i="2"/>
  <c r="H146" i="2" s="1"/>
  <c r="H14" i="2"/>
  <c r="H46" i="2"/>
  <c r="J66" i="2"/>
  <c r="G66" i="2"/>
  <c r="K108" i="2"/>
  <c r="J108" i="2"/>
  <c r="I108" i="2"/>
  <c r="I146" i="2"/>
  <c r="H492" i="2"/>
  <c r="J305" i="2"/>
  <c r="K305" i="2"/>
  <c r="I460" i="2"/>
  <c r="G460" i="2"/>
  <c r="K144" i="2"/>
  <c r="I144" i="2"/>
  <c r="H243" i="2"/>
  <c r="K243" i="2"/>
  <c r="H484" i="2"/>
  <c r="K484" i="2"/>
  <c r="K471" i="2"/>
  <c r="J471" i="2"/>
  <c r="I471" i="2"/>
  <c r="I400" i="2"/>
  <c r="G400" i="2"/>
  <c r="H400" i="2" s="1"/>
  <c r="H2" i="2"/>
  <c r="H34" i="2"/>
  <c r="H78" i="2"/>
  <c r="K177" i="2"/>
  <c r="I177" i="2"/>
  <c r="G208" i="2"/>
  <c r="G215" i="2"/>
  <c r="I215" i="2"/>
  <c r="J253" i="2"/>
  <c r="K253" i="2"/>
  <c r="I253" i="2"/>
  <c r="I305" i="2"/>
  <c r="K490" i="2"/>
  <c r="J490" i="2"/>
  <c r="I490" i="2"/>
  <c r="H88" i="2"/>
  <c r="K88" i="2"/>
  <c r="K124" i="2"/>
  <c r="J124" i="2"/>
  <c r="I124" i="2"/>
  <c r="J233" i="2"/>
  <c r="K233" i="2"/>
  <c r="I233" i="2"/>
  <c r="K308" i="2"/>
  <c r="H308" i="2"/>
  <c r="K332" i="2"/>
  <c r="H332" i="2"/>
  <c r="J96" i="2"/>
  <c r="G96" i="2"/>
  <c r="K136" i="2"/>
  <c r="J136" i="2"/>
  <c r="I136" i="2"/>
  <c r="J144" i="2"/>
  <c r="I182" i="2"/>
  <c r="K182" i="2"/>
  <c r="J182" i="2"/>
  <c r="K358" i="2"/>
  <c r="H358" i="2"/>
  <c r="K458" i="2"/>
  <c r="J458" i="2"/>
  <c r="I458" i="2"/>
  <c r="K101" i="2"/>
  <c r="I101" i="2"/>
  <c r="K91" i="2"/>
  <c r="I91" i="2"/>
  <c r="J91" i="2"/>
  <c r="G206" i="2"/>
  <c r="K256" i="2"/>
  <c r="H98" i="2"/>
  <c r="K98" i="2"/>
  <c r="I93" i="2"/>
  <c r="G93" i="2"/>
  <c r="H93" i="2" s="1"/>
  <c r="K298" i="2"/>
  <c r="H298" i="2"/>
  <c r="H32" i="2"/>
  <c r="K64" i="2"/>
  <c r="J76" i="2"/>
  <c r="K377" i="2"/>
  <c r="J377" i="2"/>
  <c r="I377" i="2"/>
  <c r="H106" i="2"/>
  <c r="K106" i="2"/>
  <c r="K139" i="2"/>
  <c r="J139" i="2"/>
  <c r="I139" i="2"/>
  <c r="G157" i="2"/>
  <c r="H157" i="2" s="1"/>
  <c r="I206" i="2"/>
  <c r="J231" i="2"/>
  <c r="K231" i="2"/>
  <c r="I231" i="2"/>
  <c r="G264" i="2"/>
  <c r="K330" i="2"/>
  <c r="I330" i="2"/>
  <c r="H24" i="2"/>
  <c r="K228" i="2"/>
  <c r="J101" i="2"/>
  <c r="I142" i="2"/>
  <c r="K142" i="2"/>
  <c r="J142" i="2"/>
  <c r="K453" i="2"/>
  <c r="J453" i="2"/>
  <c r="I453" i="2"/>
  <c r="G244" i="2"/>
  <c r="H244" i="2" s="1"/>
  <c r="K356" i="2"/>
  <c r="J356" i="2"/>
  <c r="I356" i="2"/>
  <c r="K111" i="2"/>
  <c r="J111" i="2"/>
  <c r="I111" i="2"/>
  <c r="H22" i="2"/>
  <c r="K74" i="2"/>
  <c r="H74" i="2"/>
  <c r="G99" i="2"/>
  <c r="H99" i="2" s="1"/>
  <c r="K117" i="2"/>
  <c r="I117" i="2"/>
  <c r="K216" i="2"/>
  <c r="J216" i="2"/>
  <c r="I216" i="2"/>
  <c r="K226" i="2"/>
  <c r="J226" i="2"/>
  <c r="I226" i="2"/>
  <c r="K296" i="2"/>
  <c r="I296" i="2"/>
  <c r="H54" i="2"/>
  <c r="K97" i="2"/>
  <c r="I97" i="2"/>
  <c r="I99" i="2"/>
  <c r="I204" i="2"/>
  <c r="K204" i="2"/>
  <c r="J204" i="2"/>
  <c r="J219" i="2"/>
  <c r="K219" i="2"/>
  <c r="I219" i="2"/>
  <c r="K234" i="2"/>
  <c r="J234" i="2"/>
  <c r="I234" i="2"/>
  <c r="H56" i="2"/>
  <c r="K175" i="2"/>
  <c r="I175" i="2"/>
  <c r="K262" i="2"/>
  <c r="I262" i="2"/>
  <c r="K375" i="2"/>
  <c r="J375" i="2"/>
  <c r="I375" i="2"/>
  <c r="H122" i="2"/>
  <c r="K122" i="2"/>
  <c r="K155" i="2"/>
  <c r="J155" i="2"/>
  <c r="I155" i="2"/>
  <c r="I191" i="2"/>
  <c r="G191" i="2"/>
  <c r="H191" i="2" s="1"/>
  <c r="I277" i="2"/>
  <c r="J296" i="2"/>
  <c r="K309" i="2"/>
  <c r="H309" i="2"/>
  <c r="H412" i="2"/>
  <c r="K412" i="2"/>
  <c r="I159" i="2"/>
  <c r="K89" i="2"/>
  <c r="I89" i="2"/>
  <c r="J89" i="2"/>
  <c r="H134" i="2"/>
  <c r="K134" i="2"/>
  <c r="J201" i="2"/>
  <c r="I201" i="2"/>
  <c r="I196" i="2"/>
  <c r="G196" i="2"/>
  <c r="H196" i="2" s="1"/>
  <c r="J72" i="2"/>
  <c r="G72" i="2"/>
  <c r="K115" i="2"/>
  <c r="I115" i="2"/>
  <c r="J117" i="2"/>
  <c r="H170" i="2"/>
  <c r="K170" i="2"/>
  <c r="K242" i="2"/>
  <c r="I242" i="2"/>
  <c r="J242" i="2"/>
  <c r="K328" i="2"/>
  <c r="J328" i="2"/>
  <c r="I328" i="2"/>
  <c r="I107" i="2"/>
  <c r="G107" i="2"/>
  <c r="H107" i="2" s="1"/>
  <c r="H30" i="2"/>
  <c r="H18" i="2"/>
  <c r="H50" i="2"/>
  <c r="J60" i="2"/>
  <c r="G60" i="2"/>
  <c r="J262" i="2"/>
  <c r="K430" i="2"/>
  <c r="K123" i="2"/>
  <c r="J123" i="2"/>
  <c r="I123" i="2"/>
  <c r="I241" i="2"/>
  <c r="G241" i="2"/>
  <c r="H241" i="2" s="1"/>
  <c r="G186" i="2"/>
  <c r="K194" i="2"/>
  <c r="J194" i="2"/>
  <c r="I194" i="2"/>
  <c r="K247" i="2"/>
  <c r="H247" i="2"/>
  <c r="I275" i="2"/>
  <c r="G275" i="2"/>
  <c r="H275" i="2" s="1"/>
  <c r="G370" i="2"/>
  <c r="H370" i="2" s="1"/>
  <c r="K345" i="2"/>
  <c r="K467" i="2"/>
  <c r="J467" i="2"/>
  <c r="I467" i="2"/>
  <c r="G306" i="2"/>
  <c r="H306" i="2" s="1"/>
  <c r="K156" i="2"/>
  <c r="K5" i="2"/>
  <c r="K7" i="2"/>
  <c r="K9" i="2"/>
  <c r="K11" i="2"/>
  <c r="K13" i="2"/>
  <c r="K15" i="2"/>
  <c r="K17" i="2"/>
  <c r="K19" i="2"/>
  <c r="K21" i="2"/>
  <c r="K23" i="2"/>
  <c r="K25" i="2"/>
  <c r="K27" i="2"/>
  <c r="K29" i="2"/>
  <c r="K31" i="2"/>
  <c r="K33" i="2"/>
  <c r="K35" i="2"/>
  <c r="K37" i="2"/>
  <c r="K39" i="2"/>
  <c r="K41" i="2"/>
  <c r="K43" i="2"/>
  <c r="K45" i="2"/>
  <c r="K47" i="2"/>
  <c r="K49" i="2"/>
  <c r="K51" i="2"/>
  <c r="K53" i="2"/>
  <c r="K55" i="2"/>
  <c r="K57" i="2"/>
  <c r="J88" i="2"/>
  <c r="K90" i="2"/>
  <c r="K103" i="2"/>
  <c r="K110" i="2"/>
  <c r="K119" i="2"/>
  <c r="K128" i="2"/>
  <c r="I134" i="2"/>
  <c r="G141" i="2"/>
  <c r="H141" i="2" s="1"/>
  <c r="K154" i="2"/>
  <c r="K161" i="2"/>
  <c r="J172" i="2"/>
  <c r="I172" i="2"/>
  <c r="K179" i="2"/>
  <c r="K225" i="2"/>
  <c r="K252" i="2"/>
  <c r="K281" i="2"/>
  <c r="I302" i="2"/>
  <c r="K304" i="2"/>
  <c r="K327" i="2"/>
  <c r="K379" i="2"/>
  <c r="J379" i="2"/>
  <c r="K384" i="2"/>
  <c r="K404" i="2"/>
  <c r="K409" i="2"/>
  <c r="J409" i="2"/>
  <c r="I409" i="2"/>
  <c r="J424" i="2"/>
  <c r="K455" i="2"/>
  <c r="J455" i="2"/>
  <c r="I455" i="2"/>
  <c r="G172" i="2"/>
  <c r="H172" i="2" s="1"/>
  <c r="K188" i="2"/>
  <c r="I188" i="2"/>
  <c r="J188" i="2"/>
  <c r="J237" i="2"/>
  <c r="G404" i="2"/>
  <c r="H404" i="2" s="1"/>
  <c r="K159" i="2"/>
  <c r="J159" i="2"/>
  <c r="J244" i="2"/>
  <c r="J277" i="2"/>
  <c r="K392" i="2"/>
  <c r="I392" i="2"/>
  <c r="J392" i="2"/>
  <c r="G437" i="2"/>
  <c r="H437" i="2" s="1"/>
  <c r="G494" i="2"/>
  <c r="H494" i="2" s="1"/>
  <c r="K387" i="2"/>
  <c r="J387" i="2"/>
  <c r="K417" i="2"/>
  <c r="J417" i="2"/>
  <c r="I417" i="2"/>
  <c r="K481" i="2"/>
  <c r="J481" i="2"/>
  <c r="I481" i="2"/>
  <c r="K157" i="2"/>
  <c r="I157" i="2"/>
  <c r="J157" i="2"/>
  <c r="J170" i="2"/>
  <c r="I170" i="2"/>
  <c r="J186" i="2"/>
  <c r="I186" i="2"/>
  <c r="J235" i="2"/>
  <c r="G255" i="2"/>
  <c r="H255" i="2" s="1"/>
  <c r="J275" i="2"/>
  <c r="K93" i="2"/>
  <c r="K137" i="2"/>
  <c r="I137" i="2"/>
  <c r="J217" i="2"/>
  <c r="I217" i="2"/>
  <c r="J271" i="2"/>
  <c r="K277" i="2"/>
  <c r="J390" i="2"/>
  <c r="I390" i="2"/>
  <c r="J269" i="2"/>
  <c r="K269" i="2"/>
  <c r="J287" i="2"/>
  <c r="J319" i="2"/>
  <c r="K319" i="2"/>
  <c r="I319" i="2"/>
  <c r="K87" i="2"/>
  <c r="J99" i="2"/>
  <c r="J106" i="2"/>
  <c r="I106" i="2"/>
  <c r="J122" i="2"/>
  <c r="I122" i="2"/>
  <c r="J137" i="2"/>
  <c r="K173" i="2"/>
  <c r="K217" i="2"/>
  <c r="K240" i="2"/>
  <c r="J240" i="2"/>
  <c r="I240" i="2"/>
  <c r="K275" i="2"/>
  <c r="H314" i="2"/>
  <c r="H382" i="2"/>
  <c r="K382" i="2"/>
  <c r="K390" i="2"/>
  <c r="K445" i="2"/>
  <c r="J445" i="2"/>
  <c r="I445" i="2"/>
  <c r="K83" i="2"/>
  <c r="K153" i="2"/>
  <c r="I153" i="2"/>
  <c r="J267" i="2"/>
  <c r="K267" i="2"/>
  <c r="I267" i="2"/>
  <c r="I271" i="2"/>
  <c r="K324" i="2"/>
  <c r="K373" i="2"/>
  <c r="J373" i="2"/>
  <c r="K189" i="2"/>
  <c r="K271" i="2"/>
  <c r="J280" i="2"/>
  <c r="I280" i="2"/>
  <c r="I287" i="2"/>
  <c r="K354" i="2"/>
  <c r="K448" i="2"/>
  <c r="I312" i="2"/>
  <c r="I87" i="2"/>
  <c r="J153" i="2"/>
  <c r="I173" i="2"/>
  <c r="J238" i="2"/>
  <c r="I238" i="2"/>
  <c r="I294" i="2"/>
  <c r="J312" i="2"/>
  <c r="I326" i="2"/>
  <c r="I349" i="2"/>
  <c r="J388" i="2"/>
  <c r="K388" i="2"/>
  <c r="I388" i="2"/>
  <c r="K418" i="2"/>
  <c r="J418" i="2"/>
  <c r="I418" i="2"/>
  <c r="I438" i="2"/>
  <c r="K81" i="2"/>
  <c r="K75" i="2"/>
  <c r="J87" i="2"/>
  <c r="K109" i="2"/>
  <c r="H164" i="2"/>
  <c r="K166" i="2"/>
  <c r="K171" i="2"/>
  <c r="J173" i="2"/>
  <c r="I213" i="2"/>
  <c r="G238" i="2"/>
  <c r="J265" i="2"/>
  <c r="K265" i="2"/>
  <c r="I265" i="2"/>
  <c r="K280" i="2"/>
  <c r="G285" i="2"/>
  <c r="H285" i="2" s="1"/>
  <c r="J294" i="2"/>
  <c r="G310" i="2"/>
  <c r="J317" i="2"/>
  <c r="I317" i="2"/>
  <c r="J322" i="2"/>
  <c r="K322" i="2"/>
  <c r="I322" i="2"/>
  <c r="J326" i="2"/>
  <c r="J349" i="2"/>
  <c r="G361" i="2"/>
  <c r="H361" i="2" s="1"/>
  <c r="I373" i="2"/>
  <c r="J400" i="2"/>
  <c r="K423" i="2"/>
  <c r="J423" i="2"/>
  <c r="I423" i="2"/>
  <c r="K464" i="2"/>
  <c r="J464" i="2"/>
  <c r="I464" i="2"/>
  <c r="K73" i="2"/>
  <c r="I83" i="2"/>
  <c r="J104" i="2"/>
  <c r="J120" i="2"/>
  <c r="K149" i="2"/>
  <c r="K187" i="2"/>
  <c r="K213" i="2"/>
  <c r="I258" i="2"/>
  <c r="I324" i="2"/>
  <c r="G333" i="2"/>
  <c r="H333" i="2" s="1"/>
  <c r="K347" i="2"/>
  <c r="K352" i="2"/>
  <c r="J352" i="2"/>
  <c r="G393" i="2"/>
  <c r="H393" i="2" s="1"/>
  <c r="K71" i="2"/>
  <c r="J83" i="2"/>
  <c r="K104" i="2"/>
  <c r="K120" i="2"/>
  <c r="I180" i="2"/>
  <c r="I189" i="2"/>
  <c r="J258" i="2"/>
  <c r="K290" i="2"/>
  <c r="J324" i="2"/>
  <c r="I354" i="2"/>
  <c r="I366" i="2"/>
  <c r="K436" i="2"/>
  <c r="J436" i="2"/>
  <c r="K69" i="2"/>
  <c r="J81" i="2"/>
  <c r="K125" i="2"/>
  <c r="G127" i="2"/>
  <c r="H127" i="2" s="1"/>
  <c r="I140" i="2"/>
  <c r="J151" i="2"/>
  <c r="H160" i="2"/>
  <c r="J180" i="2"/>
  <c r="J189" i="2"/>
  <c r="I202" i="2"/>
  <c r="J227" i="2"/>
  <c r="I229" i="2"/>
  <c r="I236" i="2"/>
  <c r="H245" i="2"/>
  <c r="I256" i="2"/>
  <c r="I285" i="2"/>
  <c r="I292" i="2"/>
  <c r="J342" i="2"/>
  <c r="J354" i="2"/>
  <c r="J366" i="2"/>
  <c r="K371" i="2"/>
  <c r="J371" i="2"/>
  <c r="I371" i="2"/>
  <c r="K391" i="2"/>
  <c r="J391" i="2"/>
  <c r="I398" i="2"/>
  <c r="K398" i="2"/>
  <c r="K403" i="2"/>
  <c r="J403" i="2"/>
  <c r="K79" i="2"/>
  <c r="I77" i="2"/>
  <c r="I118" i="2"/>
  <c r="J140" i="2"/>
  <c r="G158" i="2"/>
  <c r="J202" i="2"/>
  <c r="K229" i="2"/>
  <c r="J256" i="2"/>
  <c r="J278" i="2"/>
  <c r="J292" i="2"/>
  <c r="K317" i="2"/>
  <c r="K342" i="2"/>
  <c r="K364" i="2"/>
  <c r="J364" i="2"/>
  <c r="I364" i="2"/>
  <c r="J454" i="2"/>
  <c r="K454" i="2"/>
  <c r="I454" i="2"/>
  <c r="K488" i="2"/>
  <c r="J488" i="2"/>
  <c r="I488" i="2"/>
  <c r="I269" i="2"/>
  <c r="K287" i="2"/>
  <c r="I81" i="2"/>
  <c r="I109" i="2"/>
  <c r="K220" i="2"/>
  <c r="K331" i="2"/>
  <c r="J331" i="2"/>
  <c r="I331" i="2"/>
  <c r="K477" i="2"/>
  <c r="J477" i="2"/>
  <c r="I477" i="2"/>
  <c r="K67" i="2"/>
  <c r="J79" i="2"/>
  <c r="K176" i="2"/>
  <c r="K65" i="2"/>
  <c r="I75" i="2"/>
  <c r="J77" i="2"/>
  <c r="J118" i="2"/>
  <c r="I149" i="2"/>
  <c r="K169" i="2"/>
  <c r="I171" i="2"/>
  <c r="K185" i="2"/>
  <c r="J263" i="2"/>
  <c r="I263" i="2"/>
  <c r="K278" i="2"/>
  <c r="I73" i="2"/>
  <c r="J75" i="2"/>
  <c r="H100" i="2"/>
  <c r="K102" i="2"/>
  <c r="K107" i="2"/>
  <c r="J109" i="2"/>
  <c r="J149" i="2"/>
  <c r="J171" i="2"/>
  <c r="I187" i="2"/>
  <c r="H218" i="2"/>
  <c r="J236" i="2"/>
  <c r="J241" i="2"/>
  <c r="G263" i="2"/>
  <c r="H263" i="2" s="1"/>
  <c r="G297" i="2"/>
  <c r="H297" i="2" s="1"/>
  <c r="J315" i="2"/>
  <c r="I320" i="2"/>
  <c r="J320" i="2"/>
  <c r="I347" i="2"/>
  <c r="I352" i="2"/>
  <c r="K386" i="2"/>
  <c r="J386" i="2"/>
  <c r="J398" i="2"/>
  <c r="I403" i="2"/>
  <c r="H446" i="2"/>
  <c r="K446" i="2"/>
  <c r="K59" i="2"/>
  <c r="I67" i="2"/>
  <c r="G94" i="2"/>
  <c r="J116" i="2"/>
  <c r="I156" i="2"/>
  <c r="K167" i="2"/>
  <c r="K174" i="2"/>
  <c r="K183" i="2"/>
  <c r="K192" i="2"/>
  <c r="I198" i="2"/>
  <c r="J205" i="2"/>
  <c r="K205" i="2"/>
  <c r="I205" i="2"/>
  <c r="J261" i="2"/>
  <c r="I261" i="2"/>
  <c r="J313" i="2"/>
  <c r="K313" i="2"/>
  <c r="I315" i="2"/>
  <c r="K320" i="2"/>
  <c r="H338" i="2"/>
  <c r="K350" i="2"/>
  <c r="K374" i="2"/>
  <c r="K411" i="2"/>
  <c r="J411" i="2"/>
  <c r="I411" i="2"/>
  <c r="I65" i="2"/>
  <c r="J67" i="2"/>
  <c r="G92" i="2"/>
  <c r="K112" i="2"/>
  <c r="I169" i="2"/>
  <c r="I185" i="2"/>
  <c r="J198" i="2"/>
  <c r="G205" i="2"/>
  <c r="H205" i="2" s="1"/>
  <c r="G270" i="2"/>
  <c r="H272" i="2"/>
  <c r="J295" i="2"/>
  <c r="K295" i="2"/>
  <c r="I295" i="2"/>
  <c r="I306" i="2"/>
  <c r="K315" i="2"/>
  <c r="G336" i="2"/>
  <c r="I386" i="2"/>
  <c r="K389" i="2"/>
  <c r="J389" i="2"/>
  <c r="I389" i="2"/>
  <c r="K419" i="2"/>
  <c r="J419" i="2"/>
  <c r="K439" i="2"/>
  <c r="J439" i="2"/>
  <c r="G457" i="2"/>
  <c r="H457" i="2" s="1"/>
  <c r="J496" i="2"/>
  <c r="J63" i="2"/>
  <c r="J107" i="2"/>
  <c r="K165" i="2"/>
  <c r="K181" i="2"/>
  <c r="K190" i="2"/>
  <c r="J190" i="2"/>
  <c r="J196" i="2"/>
  <c r="J223" i="2"/>
  <c r="K261" i="2"/>
  <c r="K329" i="2"/>
  <c r="I345" i="2"/>
  <c r="K355" i="2"/>
  <c r="J355" i="2"/>
  <c r="K462" i="2"/>
  <c r="K357" i="2"/>
  <c r="J357" i="2"/>
  <c r="I357" i="2"/>
  <c r="J185" i="2"/>
  <c r="I3" i="2"/>
  <c r="I5" i="2"/>
  <c r="I7" i="2"/>
  <c r="I9" i="2"/>
  <c r="I11" i="2"/>
  <c r="I13" i="2"/>
  <c r="I15" i="2"/>
  <c r="I17" i="2"/>
  <c r="I19" i="2"/>
  <c r="I21" i="2"/>
  <c r="I23" i="2"/>
  <c r="I25" i="2"/>
  <c r="I27" i="2"/>
  <c r="I29" i="2"/>
  <c r="I31" i="2"/>
  <c r="I33" i="2"/>
  <c r="I35" i="2"/>
  <c r="I37" i="2"/>
  <c r="I39" i="2"/>
  <c r="I41" i="2"/>
  <c r="I43" i="2"/>
  <c r="I45" i="2"/>
  <c r="I47" i="2"/>
  <c r="I49" i="2"/>
  <c r="I51" i="2"/>
  <c r="I53" i="2"/>
  <c r="I55" i="2"/>
  <c r="I57" i="2"/>
  <c r="I59" i="2"/>
  <c r="I154" i="2"/>
  <c r="K230" i="2"/>
  <c r="I252" i="2"/>
  <c r="I286" i="2"/>
  <c r="J286" i="2"/>
  <c r="I304" i="2"/>
  <c r="J311" i="2"/>
  <c r="K311" i="2"/>
  <c r="I311" i="2"/>
  <c r="I313" i="2"/>
  <c r="K318" i="2"/>
  <c r="K343" i="2"/>
  <c r="J343" i="2"/>
  <c r="J345" i="2"/>
  <c r="K367" i="2"/>
  <c r="J367" i="2"/>
  <c r="I367" i="2"/>
  <c r="G394" i="2"/>
  <c r="H394" i="2" s="1"/>
  <c r="I457" i="2"/>
  <c r="J288" i="2"/>
  <c r="K288" i="2"/>
  <c r="I288" i="2"/>
  <c r="J65" i="2"/>
  <c r="J169" i="2"/>
  <c r="J59" i="2"/>
  <c r="K141" i="2"/>
  <c r="J141" i="2"/>
  <c r="I141" i="2"/>
  <c r="K163" i="2"/>
  <c r="I167" i="2"/>
  <c r="I183" i="2"/>
  <c r="I192" i="2"/>
  <c r="J203" i="2"/>
  <c r="K203" i="2"/>
  <c r="I203" i="2"/>
  <c r="J221" i="2"/>
  <c r="I225" i="2"/>
  <c r="K246" i="2"/>
  <c r="I281" i="2"/>
  <c r="J293" i="2"/>
  <c r="I293" i="2"/>
  <c r="G343" i="2"/>
  <c r="H343" i="2" s="1"/>
  <c r="I424" i="2"/>
  <c r="I439" i="2"/>
  <c r="H444" i="2"/>
  <c r="K444" i="2"/>
  <c r="K473" i="2"/>
  <c r="J473" i="2"/>
  <c r="I473" i="2"/>
  <c r="K483" i="2"/>
  <c r="J483" i="2"/>
  <c r="K434" i="2"/>
  <c r="J434" i="2"/>
  <c r="I434" i="2"/>
  <c r="K441" i="2"/>
  <c r="J441" i="2"/>
  <c r="J498" i="2"/>
  <c r="I498" i="2"/>
  <c r="J486" i="2"/>
  <c r="I486" i="2"/>
  <c r="K451" i="2"/>
  <c r="J451" i="2"/>
  <c r="I462" i="2"/>
  <c r="K385" i="2"/>
  <c r="J385" i="2"/>
  <c r="K437" i="2"/>
  <c r="J437" i="2"/>
  <c r="I441" i="2"/>
  <c r="H474" i="2"/>
  <c r="K486" i="2"/>
  <c r="K339" i="2"/>
  <c r="K348" i="2"/>
  <c r="J348" i="2"/>
  <c r="I348" i="2"/>
  <c r="I408" i="2"/>
  <c r="K413" i="2"/>
  <c r="J413" i="2"/>
  <c r="K145" i="2"/>
  <c r="J209" i="2"/>
  <c r="J257" i="2"/>
  <c r="K257" i="2"/>
  <c r="J301" i="2"/>
  <c r="K337" i="2"/>
  <c r="K353" i="2"/>
  <c r="I425" i="2"/>
  <c r="G425" i="2"/>
  <c r="H425" i="2" s="1"/>
  <c r="I437" i="2"/>
  <c r="K147" i="2"/>
  <c r="I451" i="2"/>
  <c r="K143" i="2"/>
  <c r="J207" i="2"/>
  <c r="J299" i="2"/>
  <c r="K335" i="2"/>
  <c r="K362" i="2"/>
  <c r="J362" i="2"/>
  <c r="I362" i="2"/>
  <c r="I385" i="2"/>
  <c r="K449" i="2"/>
  <c r="J449" i="2"/>
  <c r="G489" i="2"/>
  <c r="H489" i="2" s="1"/>
  <c r="J255" i="2"/>
  <c r="I255" i="2"/>
  <c r="J297" i="2"/>
  <c r="K333" i="2"/>
  <c r="K383" i="2"/>
  <c r="J383" i="2"/>
  <c r="K435" i="2"/>
  <c r="J435" i="2"/>
  <c r="I435" i="2"/>
  <c r="K482" i="2"/>
  <c r="J482" i="2"/>
  <c r="K135" i="2"/>
  <c r="J147" i="2"/>
  <c r="J178" i="2"/>
  <c r="J232" i="2"/>
  <c r="K303" i="2"/>
  <c r="K487" i="2"/>
  <c r="J487" i="2"/>
  <c r="I110" i="2"/>
  <c r="J112" i="2"/>
  <c r="K114" i="2"/>
  <c r="K133" i="2"/>
  <c r="I143" i="2"/>
  <c r="J145" i="2"/>
  <c r="I174" i="2"/>
  <c r="J176" i="2"/>
  <c r="J197" i="2"/>
  <c r="I207" i="2"/>
  <c r="K209" i="2"/>
  <c r="I228" i="2"/>
  <c r="J230" i="2"/>
  <c r="J251" i="2"/>
  <c r="I282" i="2"/>
  <c r="J291" i="2"/>
  <c r="K291" i="2"/>
  <c r="I299" i="2"/>
  <c r="K301" i="2"/>
  <c r="G316" i="2"/>
  <c r="J318" i="2"/>
  <c r="J327" i="2"/>
  <c r="I335" i="2"/>
  <c r="J337" i="2"/>
  <c r="J353" i="2"/>
  <c r="I360" i="2"/>
  <c r="I374" i="2"/>
  <c r="K428" i="2"/>
  <c r="J428" i="2"/>
  <c r="J430" i="2"/>
  <c r="I449" i="2"/>
  <c r="J456" i="2"/>
  <c r="J470" i="2"/>
  <c r="I470" i="2"/>
  <c r="I482" i="2"/>
  <c r="K499" i="2"/>
  <c r="J499" i="2"/>
  <c r="I499" i="2"/>
  <c r="K131" i="2"/>
  <c r="J143" i="2"/>
  <c r="J174" i="2"/>
  <c r="K207" i="2"/>
  <c r="I222" i="2"/>
  <c r="J228" i="2"/>
  <c r="G251" i="2"/>
  <c r="J282" i="2"/>
  <c r="I297" i="2"/>
  <c r="K299" i="2"/>
  <c r="I333" i="2"/>
  <c r="J335" i="2"/>
  <c r="J374" i="2"/>
  <c r="I383" i="2"/>
  <c r="I404" i="2"/>
  <c r="K416" i="2"/>
  <c r="K447" i="2"/>
  <c r="J447" i="2"/>
  <c r="K475" i="2"/>
  <c r="J475" i="2"/>
  <c r="I494" i="2"/>
  <c r="K211" i="2"/>
  <c r="K129" i="2"/>
  <c r="K193" i="2"/>
  <c r="J247" i="2"/>
  <c r="J333" i="2"/>
  <c r="K365" i="2"/>
  <c r="J365" i="2"/>
  <c r="J404" i="2"/>
  <c r="J452" i="2"/>
  <c r="K452" i="2"/>
  <c r="J494" i="2"/>
  <c r="J339" i="2"/>
  <c r="K351" i="2"/>
  <c r="J351" i="2"/>
  <c r="I351" i="2"/>
  <c r="K127" i="2"/>
  <c r="K191" i="2"/>
  <c r="J289" i="2"/>
  <c r="I289" i="2"/>
  <c r="J323" i="2"/>
  <c r="K470" i="2"/>
  <c r="K480" i="2"/>
  <c r="I487" i="2"/>
  <c r="H500" i="2"/>
  <c r="J279" i="2"/>
  <c r="K341" i="2"/>
  <c r="K359" i="2"/>
  <c r="J359" i="2"/>
  <c r="K381" i="2"/>
  <c r="J381" i="2"/>
  <c r="J422" i="2"/>
  <c r="K469" i="2"/>
  <c r="J469" i="2"/>
  <c r="K485" i="2"/>
  <c r="J485" i="2"/>
  <c r="K479" i="2"/>
  <c r="J479" i="2"/>
  <c r="K450" i="2"/>
  <c r="J450" i="2"/>
  <c r="J245" i="2"/>
  <c r="J309" i="2"/>
  <c r="J307" i="2"/>
  <c r="K405" i="2"/>
  <c r="J405" i="2"/>
  <c r="K421" i="2"/>
  <c r="J421" i="2"/>
  <c r="K443" i="2"/>
  <c r="J443" i="2"/>
  <c r="J484" i="2"/>
  <c r="K369" i="2"/>
  <c r="J369" i="2"/>
  <c r="K401" i="2"/>
  <c r="J401" i="2"/>
  <c r="K433" i="2"/>
  <c r="J433" i="2"/>
  <c r="K465" i="2"/>
  <c r="J465" i="2"/>
  <c r="K497" i="2"/>
  <c r="J497" i="2"/>
  <c r="K399" i="2"/>
  <c r="J399" i="2"/>
  <c r="K431" i="2"/>
  <c r="J431" i="2"/>
  <c r="K463" i="2"/>
  <c r="J463" i="2"/>
  <c r="K495" i="2"/>
  <c r="J495" i="2"/>
  <c r="K397" i="2"/>
  <c r="J397" i="2"/>
  <c r="K429" i="2"/>
  <c r="J429" i="2"/>
  <c r="K461" i="2"/>
  <c r="J461" i="2"/>
  <c r="K493" i="2"/>
  <c r="J493" i="2"/>
  <c r="I350" i="2"/>
  <c r="I369" i="2"/>
  <c r="I384" i="2"/>
  <c r="I401" i="2"/>
  <c r="I416" i="2"/>
  <c r="I433" i="2"/>
  <c r="I448" i="2"/>
  <c r="I465" i="2"/>
  <c r="I480" i="2"/>
  <c r="I497" i="2"/>
  <c r="J350" i="2"/>
  <c r="K363" i="2"/>
  <c r="J363" i="2"/>
  <c r="J384" i="2"/>
  <c r="K395" i="2"/>
  <c r="J395" i="2"/>
  <c r="J416" i="2"/>
  <c r="K427" i="2"/>
  <c r="J427" i="2"/>
  <c r="J448" i="2"/>
  <c r="K459" i="2"/>
  <c r="J459" i="2"/>
  <c r="J480" i="2"/>
  <c r="K491" i="2"/>
  <c r="J491" i="2"/>
  <c r="I382" i="2"/>
  <c r="I399" i="2"/>
  <c r="I414" i="2"/>
  <c r="I431" i="2"/>
  <c r="I446" i="2"/>
  <c r="I463" i="2"/>
  <c r="I478" i="2"/>
  <c r="I495" i="2"/>
  <c r="J361" i="2"/>
  <c r="J393" i="2"/>
  <c r="K425" i="2"/>
  <c r="J425" i="2"/>
  <c r="J457" i="2"/>
  <c r="K489" i="2"/>
  <c r="J489" i="2"/>
  <c r="H8" i="2" l="1"/>
  <c r="K3" i="2"/>
  <c r="K289" i="2"/>
  <c r="H289" i="2"/>
  <c r="K148" i="2"/>
  <c r="H148" i="2"/>
  <c r="H72" i="2"/>
  <c r="K72" i="2"/>
  <c r="K255" i="2"/>
  <c r="H238" i="2"/>
  <c r="K238" i="2"/>
  <c r="K263" i="2"/>
  <c r="K393" i="2"/>
  <c r="K370" i="2"/>
  <c r="K285" i="2"/>
  <c r="H460" i="2"/>
  <c r="K460" i="2"/>
  <c r="K60" i="2"/>
  <c r="H60" i="2"/>
  <c r="K172" i="2"/>
  <c r="K264" i="2"/>
  <c r="H264" i="2"/>
  <c r="H215" i="2"/>
  <c r="K215" i="2"/>
  <c r="K96" i="2"/>
  <c r="H96" i="2"/>
  <c r="K310" i="2"/>
  <c r="H310" i="2"/>
  <c r="K99" i="2"/>
  <c r="K66" i="2"/>
  <c r="H66" i="2"/>
  <c r="K270" i="2"/>
  <c r="H270" i="2"/>
  <c r="K208" i="2"/>
  <c r="H208" i="2"/>
  <c r="K297" i="2"/>
  <c r="H158" i="2"/>
  <c r="K158" i="2"/>
  <c r="H307" i="2"/>
  <c r="K307" i="2"/>
  <c r="K235" i="2"/>
  <c r="H316" i="2"/>
  <c r="K316" i="2"/>
  <c r="K94" i="2"/>
  <c r="H94" i="2"/>
  <c r="K92" i="2"/>
  <c r="H92" i="2"/>
  <c r="K457" i="2"/>
  <c r="H251" i="2"/>
  <c r="K251" i="2"/>
  <c r="K63" i="2"/>
  <c r="K206" i="2"/>
  <c r="H206" i="2"/>
  <c r="K361" i="2"/>
  <c r="K494" i="2"/>
  <c r="K68" i="2"/>
  <c r="H68" i="2"/>
  <c r="K306" i="2"/>
  <c r="K336" i="2"/>
  <c r="H336" i="2"/>
  <c r="H186" i="2"/>
  <c r="K186" i="2"/>
  <c r="K196" i="2"/>
  <c r="K394" i="2"/>
  <c r="K244" i="2"/>
  <c r="K241" i="2"/>
  <c r="K400" i="2"/>
</calcChain>
</file>

<file path=xl/sharedStrings.xml><?xml version="1.0" encoding="utf-8"?>
<sst xmlns="http://schemas.openxmlformats.org/spreadsheetml/2006/main" count="135" uniqueCount="58">
  <si>
    <t>Дата добавления</t>
  </si>
  <si>
    <t>Бренд</t>
  </si>
  <si>
    <t>Артикул</t>
  </si>
  <si>
    <t>Наименование</t>
  </si>
  <si>
    <t>Количество</t>
  </si>
  <si>
    <t>Закупочная цена, ₸</t>
  </si>
  <si>
    <t>Продажная цена, ₸</t>
  </si>
  <si>
    <t>Папка</t>
  </si>
  <si>
    <t>Фото</t>
  </si>
  <si>
    <t>Ссылки</t>
  </si>
  <si>
    <t>Карточка</t>
  </si>
  <si>
    <t>GitHub</t>
  </si>
  <si>
    <t>Kaspi</t>
  </si>
  <si>
    <t>Kaspi SKU</t>
  </si>
  <si>
    <t>Место хранения</t>
  </si>
  <si>
    <t>Поставщик</t>
  </si>
  <si>
    <t>Дата обновления</t>
  </si>
  <si>
    <t>Примечание</t>
  </si>
  <si>
    <t>Brembo</t>
  </si>
  <si>
    <t>P85083</t>
  </si>
  <si>
    <t>Колодки тормозные задние</t>
  </si>
  <si>
    <t>Да</t>
  </si>
  <si>
    <t>Прибыль с единицы, ₸</t>
  </si>
  <si>
    <t>Маржа, %</t>
  </si>
  <si>
    <t>Стоимость остатка, ₸</t>
  </si>
  <si>
    <t>Потенциальная выручка, ₸</t>
  </si>
  <si>
    <t>Потенциальная прибыль, ₸</t>
  </si>
  <si>
    <t>Сводка по складу и каталогу</t>
  </si>
  <si>
    <t>Показатель</t>
  </si>
  <si>
    <t>Значение</t>
  </si>
  <si>
    <t>Контроль</t>
  </si>
  <si>
    <t>Количество товарных позиций</t>
  </si>
  <si>
    <t>Нет в наличии</t>
  </si>
  <si>
    <t>Общее количество единиц</t>
  </si>
  <si>
    <t>Малый остаток (1–2)</t>
  </si>
  <si>
    <t>Стоимость остатков</t>
  </si>
  <si>
    <t>Без карточки</t>
  </si>
  <si>
    <t>Потенциальная выручка</t>
  </si>
  <si>
    <t>Не опубликовано в Kaspi</t>
  </si>
  <si>
    <t>Потенциальная прибыль</t>
  </si>
  <si>
    <t>Опубликовано в Kaspi</t>
  </si>
  <si>
    <t>Этап</t>
  </si>
  <si>
    <t>Выполнено</t>
  </si>
  <si>
    <t>Kaspi Код Товара</t>
  </si>
  <si>
    <t>Leopart</t>
  </si>
  <si>
    <t>MK KASHIYAMA</t>
  </si>
  <si>
    <t>D3132H</t>
  </si>
  <si>
    <t>ARMTEK</t>
  </si>
  <si>
    <t>Эталонная карточка v1.2</t>
  </si>
  <si>
    <t>Первая карточка проекта</t>
  </si>
  <si>
    <t>D11173MH</t>
  </si>
  <si>
    <t>Колодки тормозные передние</t>
  </si>
  <si>
    <t>D1231MH</t>
  </si>
  <si>
    <t>D11115MH</t>
  </si>
  <si>
    <t>D6108H</t>
  </si>
  <si>
    <t>D2082MH</t>
  </si>
  <si>
    <t>K2333</t>
  </si>
  <si>
    <t>Колодки тормозные задние  барабанные, комплект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</si>
</sst>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\ &quot;₽&quot;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</fills>
  <borders count="4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1" applyNumberFormat="1" applyFont="1" applyFill="1" applyBorder="1" applyAlignment="1">
      <alignment horizontal="center" vertical="center" wrapText="1"/>
    </xf>
    <xf numFmtId="0" fontId="1" fillId="2" borderId="2" xfId="1" applyNumberFormat="1" applyFont="1" applyFill="1" applyBorder="1" applyAlignment="1">
      <alignment horizontal="center" vertical="center" wrapText="1"/>
    </xf>
    <xf numFmtId="0" fontId="1" fillId="2" borderId="3" xfId="1" applyNumberFormat="1" applyFont="1" applyFill="1" applyBorder="1" applyAlignment="1">
      <alignment horizontal="center" vertical="center" wrapText="1"/>
    </xf>
    <xf numFmtId="165" fontId="0" fillId="0" borderId="0" xfId="1" applyNumberFormat="1" applyFont="1" applyFill="1" applyBorder="1"/>
    <xf numFmtId="0" fontId="0" fillId="0" borderId="0" xfId="1" applyNumberFormat="1" applyFont="1" applyFill="1" applyBorder="1" applyAlignment="1">
      <alignment wrapText="1"/>
    </xf>
    <xf numFmtId="1" fontId="0" fillId="0" borderId="0" xfId="1" applyNumberFormat="1" applyFont="1" applyFill="1" applyBorder="1" applyAlignment="1">
      <alignment wrapText="1"/>
    </xf>
    <xf numFmtId="165" fontId="0" fillId="0" borderId="0" xfId="1" applyNumberFormat="1" applyFont="1" applyFill="1" applyBorder="1" applyAlignment="1">
      <alignment wrapText="1"/>
    </xf>
    <xf numFmtId="164" fontId="0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1" applyNumberFormat="1" applyFont="1" applyFill="1" applyBorder="1" applyAlignment="1">
      <alignment horizontal="center" wrapText="1"/>
    </xf>
    <xf numFmtId="1" fontId="0" fillId="0" borderId="0" xfId="1" applyNumberFormat="1" applyFont="1" applyFill="1" applyBorder="1" applyAlignment="1">
      <alignment horizontal="center" wrapText="1"/>
    </xf>
    <xf numFmtId="165" fontId="0" fillId="0" borderId="0" xfId="1" applyNumberFormat="1" applyFont="1" applyFill="1" applyBorder="1" applyAlignment="1">
      <alignment horizontal="center" wrapText="1"/>
    </xf>
    <xf numFmtId="10" fontId="0" fillId="0" borderId="0" xfId="1" applyNumberFormat="1" applyFont="1" applyFill="1" applyBorder="1" applyAlignment="1">
      <alignment horizontal="center" wrapText="1"/>
    </xf>
    <xf numFmtId="0" fontId="2" fillId="3" borderId="0" xfId="1" applyNumberFormat="1" applyFont="1" applyFill="1" applyBorder="1" applyAlignment="1">
      <alignment horizontal="center" vertical="center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Views>
    <sheetView tabSelected="1" workbookViewId="0">
      <selection activeCell="J14" sqref="J14"/>
    </sheetView>
  </sheetViews>
  <sheetFormatPr defaultRowHeight="14.25"/>
  <cols>
    <col min="1" max="1" width="15" style="9" customWidth="1"/>
    <col min="2" max="2" width="16.25" style="9" customWidth="1"/>
    <col min="3" max="3" width="16" style="9" customWidth="1"/>
    <col min="4" max="4" width="32" customWidth="1"/>
    <col min="5" max="5" width="12" customWidth="1"/>
    <col min="6" max="7" width="18" customWidth="1"/>
    <col min="8" max="13" width="11" style="9" customWidth="1"/>
    <col min="14" max="14" width="16" style="9" customWidth="1"/>
    <col min="15" max="16" width="18" style="9" customWidth="1"/>
    <col min="17" max="17" width="15" style="9" customWidth="1"/>
    <col min="18" max="18" width="30" style="9" customWidth="1"/>
  </cols>
  <sheetData>
    <row r="1" spans="1:18" ht="3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>
      <c r="A2" s="8">
        <v>46235</v>
      </c>
      <c r="B2" s="10" t="s">
        <v>18</v>
      </c>
      <c r="C2" s="10" t="s">
        <v>19</v>
      </c>
      <c r="D2" s="5" t="s">
        <v>20</v>
      </c>
      <c r="E2" s="6">
        <v>1</v>
      </c>
      <c r="F2" s="7">
        <v>0</v>
      </c>
      <c r="G2" s="7">
        <v>14000</v>
      </c>
      <c r="H2" s="10" t="s">
        <v>21</v>
      </c>
      <c r="I2" s="10" t="s">
        <v>21</v>
      </c>
      <c r="J2" s="10" t="s">
        <v>21</v>
      </c>
      <c r="K2" s="10" t="s">
        <v>21</v>
      </c>
      <c r="L2" s="10" t="s">
        <v>21</v>
      </c>
      <c r="M2" s="10" t="s">
        <v>21</v>
      </c>
      <c r="N2" s="10">
        <v>172835238</v>
      </c>
      <c r="O2" s="10"/>
      <c r="P2" s="10" t="s">
        <v>44</v>
      </c>
      <c r="Q2" s="8">
        <v>46236</v>
      </c>
      <c r="R2" s="10" t="s">
        <v>49</v>
      </c>
    </row>
    <row r="3" spans="1:18">
      <c r="A3" s="8">
        <v>46236</v>
      </c>
      <c r="B3" s="10" t="s">
        <v>45</v>
      </c>
      <c r="C3" s="10" t="s">
        <v>46</v>
      </c>
      <c r="D3" s="5" t="s">
        <v>20</v>
      </c>
      <c r="E3" s="6">
        <v>1</v>
      </c>
      <c r="F3" s="7">
        <v>0</v>
      </c>
      <c r="G3" s="7">
        <v>8000</v>
      </c>
      <c r="H3" s="10" t="s">
        <v>21</v>
      </c>
      <c r="I3" s="10" t="s">
        <v>21</v>
      </c>
      <c r="J3" s="10" t="s">
        <v>21</v>
      </c>
      <c r="K3" s="10" t="s">
        <v>21</v>
      </c>
      <c r="L3" s="10" t="s">
        <v>21</v>
      </c>
      <c r="M3" s="10" t="s">
        <v>21</v>
      </c>
      <c r="N3" s="10">
        <v>172843950</v>
      </c>
      <c r="O3" s="10"/>
      <c r="P3" s="10" t="s">
        <v>47</v>
      </c>
      <c r="Q3" s="8">
        <v>46236</v>
      </c>
      <c r="R3" s="10" t="s">
        <v>48</v>
      </c>
    </row>
    <row r="4" spans="1:18">
      <c r="A4" s="8">
        <v>46237</v>
      </c>
      <c r="B4" s="10" t="s">
        <v>45</v>
      </c>
      <c r="C4" s="10" t="s">
        <v>50</v>
      </c>
      <c r="D4" s="5" t="s">
        <v>51</v>
      </c>
      <c r="E4" s="6">
        <v>2</v>
      </c>
      <c r="F4" s="7">
        <v>0</v>
      </c>
      <c r="G4" s="7">
        <v>12000</v>
      </c>
      <c r="H4" s="10" t="s">
        <v>21</v>
      </c>
      <c r="I4" s="10" t="s">
        <v>21</v>
      </c>
      <c r="J4" s="10" t="s">
        <v>21</v>
      </c>
      <c r="K4" s="10" t="s">
        <v>21</v>
      </c>
      <c r="L4" s="10" t="s">
        <v>21</v>
      </c>
      <c r="M4" s="10" t="s">
        <v>21</v>
      </c>
      <c r="N4" s="10">
        <v>172870174</v>
      </c>
      <c r="O4" s="10"/>
      <c r="P4" s="10"/>
      <c r="Q4" s="8">
        <v>46237</v>
      </c>
      <c r="R4" s="10"/>
    </row>
    <row r="5" spans="1:18">
      <c r="A5" s="8">
        <v>46237</v>
      </c>
      <c r="B5" s="10" t="s">
        <v>45</v>
      </c>
      <c r="C5" s="10" t="s">
        <v>52</v>
      </c>
      <c r="D5" s="5" t="s">
        <v>51</v>
      </c>
      <c r="E5" s="6">
        <v>1</v>
      </c>
      <c r="F5" s="7">
        <v>0</v>
      </c>
      <c r="G5" s="7">
        <v>12000</v>
      </c>
      <c r="H5" s="10" t="s">
        <v>21</v>
      </c>
      <c r="I5" s="10" t="s">
        <v>21</v>
      </c>
      <c r="J5" s="10" t="s">
        <v>21</v>
      </c>
      <c r="K5" s="10" t="s">
        <v>21</v>
      </c>
      <c r="L5" s="10" t="s">
        <v>21</v>
      </c>
      <c r="M5" s="10" t="s">
        <v>21</v>
      </c>
      <c r="N5" s="10">
        <v>172879327</v>
      </c>
      <c r="O5" s="10"/>
      <c r="P5" s="10" t="s">
        <v>47</v>
      </c>
      <c r="Q5" s="8">
        <v>46237</v>
      </c>
      <c r="R5" s="10"/>
    </row>
    <row r="6" spans="1:18">
      <c r="A6" s="8">
        <v>46237</v>
      </c>
      <c r="B6" s="10" t="s">
        <v>45</v>
      </c>
      <c r="C6" s="10" t="s">
        <v>53</v>
      </c>
      <c r="D6" s="5" t="s">
        <v>51</v>
      </c>
      <c r="E6" s="6">
        <v>1</v>
      </c>
      <c r="F6" s="7">
        <v>0</v>
      </c>
      <c r="G6" s="7">
        <v>11000</v>
      </c>
      <c r="H6" s="10" t="s">
        <v>21</v>
      </c>
      <c r="I6" s="10" t="s">
        <v>21</v>
      </c>
      <c r="J6" s="10" t="s">
        <v>21</v>
      </c>
      <c r="K6" s="10" t="s">
        <v>21</v>
      </c>
      <c r="L6" s="10" t="s">
        <v>21</v>
      </c>
      <c r="M6" s="10" t="s">
        <v>21</v>
      </c>
      <c r="N6" s="10">
        <v>172886515</v>
      </c>
      <c r="O6" s="10"/>
      <c r="P6" s="10"/>
      <c r="Q6" s="8">
        <v>46237</v>
      </c>
      <c r="R6" s="10"/>
    </row>
    <row r="7" spans="1:18">
      <c r="A7" s="8">
        <v>46237</v>
      </c>
      <c r="B7" s="10" t="s">
        <v>45</v>
      </c>
      <c r="C7" s="10" t="s">
        <v>54</v>
      </c>
      <c r="D7" s="5" t="s">
        <v>51</v>
      </c>
      <c r="E7" s="6">
        <v>1</v>
      </c>
      <c r="F7" s="7">
        <v>0</v>
      </c>
      <c r="G7" s="7">
        <v>6000</v>
      </c>
      <c r="H7" s="10" t="s">
        <v>21</v>
      </c>
      <c r="I7" s="10" t="s">
        <v>21</v>
      </c>
      <c r="J7" s="10" t="s">
        <v>21</v>
      </c>
      <c r="K7" s="10" t="s">
        <v>21</v>
      </c>
      <c r="L7" s="10" t="s">
        <v>21</v>
      </c>
      <c r="M7" s="10" t="s">
        <v>21</v>
      </c>
      <c r="N7" s="10">
        <v>172903965</v>
      </c>
      <c r="O7" s="10"/>
      <c r="P7" s="10" t="s">
        <v>47</v>
      </c>
      <c r="Q7" s="8">
        <v>46237</v>
      </c>
      <c r="R7" s="10"/>
    </row>
    <row r="8" spans="1:18">
      <c r="A8" s="8">
        <v>46238</v>
      </c>
      <c r="B8" s="10" t="s">
        <v>45</v>
      </c>
      <c r="C8" s="10" t="s">
        <v>55</v>
      </c>
      <c r="D8" s="5" t="s">
        <v>51</v>
      </c>
      <c r="E8" s="6">
        <v>1</v>
      </c>
      <c r="F8" s="7">
        <v>0</v>
      </c>
      <c r="G8" s="7">
        <v>10000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>
        <v>172985889</v>
      </c>
      <c r="O8" s="10"/>
      <c r="P8" s="10"/>
      <c r="Q8" s="8">
        <v>46238</v>
      </c>
      <c r="R8" s="10"/>
    </row>
    <row r="9" spans="1:18" ht="28.5">
      <c r="A9" s="8">
        <v>46239</v>
      </c>
      <c r="B9" s="10" t="s">
        <v>45</v>
      </c>
      <c r="C9" s="10" t="s">
        <v>56</v>
      </c>
      <c r="D9" s="5" t="s">
        <v>57</v>
      </c>
      <c r="E9" s="6">
        <v>1</v>
      </c>
      <c r="F9" s="7">
        <v>0</v>
      </c>
      <c r="G9" s="7">
        <v>12000</v>
      </c>
      <c r="H9" s="10" t="s">
        <v>21</v>
      </c>
      <c r="I9" s="10" t="s">
        <v>21</v>
      </c>
      <c r="J9" s="10" t="s">
        <v>21</v>
      </c>
      <c r="K9" s="10" t="s">
        <v>21</v>
      </c>
      <c r="L9" s="10" t="s">
        <v>21</v>
      </c>
      <c r="M9" s="10" t="s">
        <v>21</v>
      </c>
      <c r="N9" s="10">
        <v>172999972</v>
      </c>
      <c r="O9" s="10"/>
      <c r="P9" s="10"/>
      <c r="Q9" s="8">
        <v>46239</v>
      </c>
      <c r="R9" s="10"/>
    </row>
    <row r="10" spans="1:18">
      <c r="A10" s="8"/>
      <c r="B10" s="10"/>
      <c r="C10" s="10"/>
      <c r="D10" s="5"/>
      <c r="E10" s="6"/>
      <c r="F10" s="7"/>
      <c r="G10" s="7"/>
      <c r="H10" s="10"/>
      <c r="I10" s="10"/>
      <c r="J10" s="10"/>
      <c r="K10" s="10"/>
      <c r="L10" s="10"/>
      <c r="M10" s="10"/>
      <c r="N10" s="10"/>
      <c r="O10" s="10"/>
      <c r="P10" s="10"/>
      <c r="Q10" s="8"/>
      <c r="R10" s="10"/>
    </row>
    <row r="11" spans="1:18">
      <c r="A11" s="8"/>
      <c r="B11" s="10"/>
      <c r="C11" s="10"/>
      <c r="D11" s="5"/>
      <c r="E11" s="6"/>
      <c r="F11" s="7"/>
      <c r="G11" s="7"/>
      <c r="H11" s="10"/>
      <c r="I11" s="10"/>
      <c r="J11" s="10"/>
      <c r="K11" s="10"/>
      <c r="L11" s="10"/>
      <c r="M11" s="10"/>
      <c r="N11" s="10"/>
      <c r="O11" s="10"/>
      <c r="P11" s="10"/>
      <c r="Q11" s="8"/>
      <c r="R11" s="10"/>
    </row>
    <row r="12" spans="1:18">
      <c r="A12" s="8"/>
      <c r="B12" s="10"/>
      <c r="C12" s="10"/>
      <c r="D12" s="5"/>
      <c r="E12" s="6"/>
      <c r="F12" s="7"/>
      <c r="G12" s="7"/>
      <c r="H12" s="10"/>
      <c r="I12" s="10"/>
      <c r="J12" s="10"/>
      <c r="K12" s="10"/>
      <c r="L12" s="10"/>
      <c r="M12" s="10"/>
      <c r="N12" s="10"/>
      <c r="O12" s="10"/>
      <c r="P12" s="10"/>
      <c r="Q12" s="8"/>
      <c r="R12" s="10"/>
    </row>
    <row r="13" spans="1:18">
      <c r="A13" s="8"/>
      <c r="B13" s="10"/>
      <c r="C13" s="10"/>
      <c r="D13" s="5"/>
      <c r="E13" s="6"/>
      <c r="F13" s="7"/>
      <c r="G13" s="7"/>
      <c r="H13" s="10"/>
      <c r="I13" s="10"/>
      <c r="J13" s="10"/>
      <c r="K13" s="10"/>
      <c r="L13" s="10"/>
      <c r="M13" s="10"/>
      <c r="N13" s="10"/>
      <c r="O13" s="10"/>
      <c r="P13" s="10"/>
      <c r="Q13" s="8"/>
      <c r="R13" s="10"/>
    </row>
    <row r="14" spans="1:18">
      <c r="A14" s="8"/>
      <c r="B14" s="10"/>
      <c r="C14" s="10"/>
      <c r="D14" s="5"/>
      <c r="E14" s="6"/>
      <c r="F14" s="7"/>
      <c r="G14" s="7"/>
      <c r="H14" s="10"/>
      <c r="I14" s="10"/>
      <c r="J14" s="10"/>
      <c r="K14" s="10"/>
      <c r="L14" s="10"/>
      <c r="M14" s="10"/>
      <c r="N14" s="10"/>
      <c r="O14" s="10"/>
      <c r="P14" s="10"/>
      <c r="Q14" s="8"/>
      <c r="R14" s="10"/>
    </row>
    <row r="15" spans="1:18">
      <c r="A15" s="8"/>
      <c r="B15" s="10"/>
      <c r="C15" s="10"/>
      <c r="D15" s="5"/>
      <c r="E15" s="6"/>
      <c r="F15" s="7"/>
      <c r="G15" s="7"/>
      <c r="H15" s="10"/>
      <c r="I15" s="10"/>
      <c r="J15" s="10"/>
      <c r="K15" s="10"/>
      <c r="L15" s="10"/>
      <c r="M15" s="10"/>
      <c r="N15" s="10"/>
      <c r="O15" s="10"/>
      <c r="P15" s="10"/>
      <c r="Q15" s="8"/>
      <c r="R15" s="10"/>
    </row>
    <row r="16" spans="1:18">
      <c r="A16" s="8"/>
      <c r="B16" s="10"/>
      <c r="C16" s="10"/>
      <c r="D16" s="5"/>
      <c r="E16" s="6"/>
      <c r="F16" s="7"/>
      <c r="G16" s="7"/>
      <c r="H16" s="10"/>
      <c r="I16" s="10"/>
      <c r="J16" s="10"/>
      <c r="K16" s="10"/>
      <c r="L16" s="10"/>
      <c r="M16" s="10"/>
      <c r="N16" s="10"/>
      <c r="O16" s="10"/>
      <c r="P16" s="10"/>
      <c r="Q16" s="8"/>
      <c r="R16" s="10"/>
    </row>
    <row r="17" spans="1:18">
      <c r="A17" s="8"/>
      <c r="B17" s="10"/>
      <c r="C17" s="10"/>
      <c r="D17" s="5"/>
      <c r="E17" s="6"/>
      <c r="F17" s="7"/>
      <c r="G17" s="7"/>
      <c r="H17" s="10"/>
      <c r="I17" s="10"/>
      <c r="J17" s="10"/>
      <c r="K17" s="10"/>
      <c r="L17" s="10"/>
      <c r="M17" s="10"/>
      <c r="N17" s="10"/>
      <c r="O17" s="10"/>
      <c r="P17" s="10"/>
      <c r="Q17" s="8"/>
      <c r="R17" s="10"/>
    </row>
    <row r="18" spans="1:18">
      <c r="A18" s="8"/>
      <c r="B18" s="10"/>
      <c r="C18" s="10"/>
      <c r="D18" s="5"/>
      <c r="E18" s="6"/>
      <c r="F18" s="7"/>
      <c r="G18" s="7"/>
      <c r="H18" s="10"/>
      <c r="I18" s="10"/>
      <c r="J18" s="10"/>
      <c r="K18" s="10"/>
      <c r="L18" s="10"/>
      <c r="M18" s="10"/>
      <c r="N18" s="10"/>
      <c r="O18" s="10"/>
      <c r="P18" s="10"/>
      <c r="Q18" s="8"/>
      <c r="R18" s="10"/>
    </row>
    <row r="19" spans="1:18">
      <c r="A19" s="8"/>
      <c r="B19" s="10"/>
      <c r="C19" s="10"/>
      <c r="D19" s="5"/>
      <c r="E19" s="6"/>
      <c r="F19" s="7"/>
      <c r="G19" s="7"/>
      <c r="H19" s="10"/>
      <c r="I19" s="10"/>
      <c r="J19" s="10"/>
      <c r="K19" s="10"/>
      <c r="L19" s="10"/>
      <c r="M19" s="10"/>
      <c r="N19" s="10"/>
      <c r="O19" s="10"/>
      <c r="P19" s="10"/>
      <c r="Q19" s="8"/>
      <c r="R19" s="10"/>
    </row>
    <row r="20" spans="1:18">
      <c r="A20" s="8"/>
      <c r="B20" s="10"/>
      <c r="C20" s="10"/>
      <c r="D20" s="5"/>
      <c r="E20" s="6"/>
      <c r="F20" s="7"/>
      <c r="G20" s="7"/>
      <c r="H20" s="10"/>
      <c r="I20" s="10"/>
      <c r="J20" s="10"/>
      <c r="K20" s="10"/>
      <c r="L20" s="10"/>
      <c r="M20" s="10"/>
      <c r="N20" s="10"/>
      <c r="O20" s="10"/>
      <c r="P20" s="10"/>
      <c r="Q20" s="8"/>
      <c r="R20" s="10"/>
    </row>
    <row r="21" spans="1:18">
      <c r="A21" s="8"/>
      <c r="B21" s="10"/>
      <c r="C21" s="10"/>
      <c r="D21" s="5"/>
      <c r="E21" s="6"/>
      <c r="F21" s="7"/>
      <c r="G21" s="7"/>
      <c r="H21" s="10"/>
      <c r="I21" s="10"/>
      <c r="J21" s="10"/>
      <c r="K21" s="10"/>
      <c r="L21" s="10"/>
      <c r="M21" s="10"/>
      <c r="N21" s="10"/>
      <c r="O21" s="10"/>
      <c r="P21" s="10"/>
      <c r="Q21" s="8"/>
      <c r="R21" s="10"/>
    </row>
    <row r="22" spans="1:18">
      <c r="A22" s="8"/>
      <c r="B22" s="10"/>
      <c r="C22" s="10"/>
      <c r="D22" s="5"/>
      <c r="E22" s="6"/>
      <c r="F22" s="7"/>
      <c r="G22" s="7"/>
      <c r="H22" s="10"/>
      <c r="I22" s="10"/>
      <c r="J22" s="10"/>
      <c r="K22" s="10"/>
      <c r="L22" s="10"/>
      <c r="M22" s="10"/>
      <c r="N22" s="10"/>
      <c r="O22" s="10"/>
      <c r="P22" s="10"/>
      <c r="Q22" s="8"/>
      <c r="R22" s="10"/>
    </row>
    <row r="23" spans="1:18">
      <c r="A23" s="8"/>
      <c r="B23" s="10"/>
      <c r="C23" s="10"/>
      <c r="D23" s="5"/>
      <c r="E23" s="6"/>
      <c r="F23" s="7"/>
      <c r="G23" s="7"/>
      <c r="H23" s="10"/>
      <c r="I23" s="10"/>
      <c r="J23" s="10"/>
      <c r="K23" s="10"/>
      <c r="L23" s="10"/>
      <c r="M23" s="10"/>
      <c r="N23" s="10"/>
      <c r="O23" s="10"/>
      <c r="P23" s="10"/>
      <c r="Q23" s="8"/>
      <c r="R23" s="10"/>
    </row>
    <row r="24" spans="1:18">
      <c r="A24" s="8"/>
      <c r="B24" s="10"/>
      <c r="C24" s="10"/>
      <c r="D24" s="5"/>
      <c r="E24" s="6"/>
      <c r="F24" s="7"/>
      <c r="G24" s="7"/>
      <c r="H24" s="10"/>
      <c r="I24" s="10"/>
      <c r="J24" s="10"/>
      <c r="K24" s="10"/>
      <c r="L24" s="10"/>
      <c r="M24" s="10"/>
      <c r="N24" s="10"/>
      <c r="O24" s="10"/>
      <c r="P24" s="10"/>
      <c r="Q24" s="8"/>
      <c r="R24" s="10"/>
    </row>
    <row r="25" spans="1:18">
      <c r="A25" s="8"/>
      <c r="B25" s="10"/>
      <c r="C25" s="10"/>
      <c r="D25" s="5"/>
      <c r="E25" s="6"/>
      <c r="F25" s="7"/>
      <c r="G25" s="7"/>
      <c r="H25" s="10"/>
      <c r="I25" s="10"/>
      <c r="J25" s="10"/>
      <c r="K25" s="10"/>
      <c r="L25" s="10"/>
      <c r="M25" s="10"/>
      <c r="N25" s="10"/>
      <c r="O25" s="10"/>
      <c r="P25" s="10"/>
      <c r="Q25" s="8"/>
      <c r="R25" s="10"/>
    </row>
    <row r="26" spans="1:18">
      <c r="A26" s="8"/>
      <c r="B26" s="10"/>
      <c r="C26" s="10"/>
      <c r="D26" s="5"/>
      <c r="E26" s="6"/>
      <c r="F26" s="7"/>
      <c r="G26" s="7"/>
      <c r="H26" s="10"/>
      <c r="I26" s="10"/>
      <c r="J26" s="10"/>
      <c r="K26" s="10"/>
      <c r="L26" s="10"/>
      <c r="M26" s="10"/>
      <c r="N26" s="10"/>
      <c r="O26" s="10"/>
      <c r="P26" s="10"/>
      <c r="Q26" s="8"/>
      <c r="R26" s="10"/>
    </row>
    <row r="27" spans="1:18">
      <c r="A27" s="8"/>
      <c r="B27" s="10"/>
      <c r="C27" s="10"/>
      <c r="D27" s="5"/>
      <c r="E27" s="6"/>
      <c r="F27" s="7"/>
      <c r="G27" s="7"/>
      <c r="H27" s="10"/>
      <c r="I27" s="10"/>
      <c r="J27" s="10"/>
      <c r="K27" s="10"/>
      <c r="L27" s="10"/>
      <c r="M27" s="10"/>
      <c r="N27" s="10"/>
      <c r="O27" s="10"/>
      <c r="P27" s="10"/>
      <c r="Q27" s="8"/>
      <c r="R27" s="10"/>
    </row>
    <row r="28" spans="1:18">
      <c r="A28" s="8"/>
      <c r="B28" s="10"/>
      <c r="C28" s="10"/>
      <c r="D28" s="5"/>
      <c r="E28" s="6"/>
      <c r="F28" s="7"/>
      <c r="G28" s="7"/>
      <c r="H28" s="10"/>
      <c r="I28" s="10"/>
      <c r="J28" s="10"/>
      <c r="K28" s="10"/>
      <c r="L28" s="10"/>
      <c r="M28" s="10"/>
      <c r="N28" s="10"/>
      <c r="O28" s="10"/>
      <c r="P28" s="10"/>
      <c r="Q28" s="8"/>
      <c r="R28" s="10"/>
    </row>
    <row r="29" spans="1:18">
      <c r="A29" s="8"/>
      <c r="B29" s="10"/>
      <c r="C29" s="10"/>
      <c r="D29" s="5"/>
      <c r="E29" s="6"/>
      <c r="F29" s="7"/>
      <c r="G29" s="7"/>
      <c r="H29" s="10"/>
      <c r="I29" s="10"/>
      <c r="J29" s="10"/>
      <c r="K29" s="10"/>
      <c r="L29" s="10"/>
      <c r="M29" s="10"/>
      <c r="N29" s="10"/>
      <c r="O29" s="10"/>
      <c r="P29" s="10"/>
      <c r="Q29" s="8"/>
      <c r="R29" s="10"/>
    </row>
    <row r="30" spans="1:18">
      <c r="A30" s="8"/>
      <c r="B30" s="10"/>
      <c r="C30" s="10"/>
      <c r="D30" s="5"/>
      <c r="E30" s="6"/>
      <c r="F30" s="7"/>
      <c r="G30" s="7"/>
      <c r="H30" s="10"/>
      <c r="I30" s="10"/>
      <c r="J30" s="10"/>
      <c r="K30" s="10"/>
      <c r="L30" s="10"/>
      <c r="M30" s="10"/>
      <c r="N30" s="10"/>
      <c r="O30" s="10"/>
      <c r="P30" s="10"/>
      <c r="Q30" s="8"/>
      <c r="R30" s="10"/>
    </row>
    <row r="31" spans="1:18">
      <c r="A31" s="8"/>
      <c r="B31" s="10"/>
      <c r="C31" s="10"/>
      <c r="D31" s="5"/>
      <c r="E31" s="6"/>
      <c r="F31" s="7"/>
      <c r="G31" s="7"/>
      <c r="H31" s="10"/>
      <c r="I31" s="10"/>
      <c r="J31" s="10"/>
      <c r="K31" s="10"/>
      <c r="L31" s="10"/>
      <c r="M31" s="10"/>
      <c r="N31" s="10"/>
      <c r="O31" s="10"/>
      <c r="P31" s="10"/>
      <c r="Q31" s="8"/>
      <c r="R31" s="10"/>
    </row>
    <row r="32" spans="1:18">
      <c r="A32" s="8"/>
      <c r="B32" s="10"/>
      <c r="C32" s="10"/>
      <c r="D32" s="5"/>
      <c r="E32" s="6"/>
      <c r="F32" s="7"/>
      <c r="G32" s="7"/>
      <c r="H32" s="10"/>
      <c r="I32" s="10"/>
      <c r="J32" s="10"/>
      <c r="K32" s="10"/>
      <c r="L32" s="10"/>
      <c r="M32" s="10"/>
      <c r="N32" s="10"/>
      <c r="O32" s="10"/>
      <c r="P32" s="10"/>
      <c r="Q32" s="8"/>
      <c r="R32" s="10"/>
    </row>
    <row r="33" spans="1:18">
      <c r="A33" s="8"/>
      <c r="B33" s="10"/>
      <c r="C33" s="10"/>
      <c r="D33" s="5"/>
      <c r="E33" s="6"/>
      <c r="F33" s="7"/>
      <c r="G33" s="7"/>
      <c r="H33" s="10"/>
      <c r="I33" s="10"/>
      <c r="J33" s="10"/>
      <c r="K33" s="10"/>
      <c r="L33" s="10"/>
      <c r="M33" s="10"/>
      <c r="N33" s="10"/>
      <c r="O33" s="10"/>
      <c r="P33" s="10"/>
      <c r="Q33" s="8"/>
      <c r="R33" s="10"/>
    </row>
    <row r="34" spans="1:18">
      <c r="A34" s="8"/>
      <c r="B34" s="10"/>
      <c r="C34" s="10"/>
      <c r="D34" s="5"/>
      <c r="E34" s="6"/>
      <c r="F34" s="7"/>
      <c r="G34" s="7"/>
      <c r="H34" s="10"/>
      <c r="I34" s="10"/>
      <c r="J34" s="10"/>
      <c r="K34" s="10"/>
      <c r="L34" s="10"/>
      <c r="M34" s="10"/>
      <c r="N34" s="10"/>
      <c r="O34" s="10"/>
      <c r="P34" s="10"/>
      <c r="Q34" s="8"/>
      <c r="R34" s="10"/>
    </row>
    <row r="35" spans="1:18">
      <c r="A35" s="8"/>
      <c r="B35" s="10"/>
      <c r="C35" s="10"/>
      <c r="D35" s="5"/>
      <c r="E35" s="6"/>
      <c r="F35" s="7"/>
      <c r="G35" s="7"/>
      <c r="H35" s="10"/>
      <c r="I35" s="10"/>
      <c r="J35" s="10"/>
      <c r="K35" s="10"/>
      <c r="L35" s="10"/>
      <c r="M35" s="10"/>
      <c r="N35" s="10"/>
      <c r="O35" s="10"/>
      <c r="P35" s="10"/>
      <c r="Q35" s="8"/>
      <c r="R35" s="10"/>
    </row>
    <row r="36" spans="1:18">
      <c r="A36" s="8"/>
      <c r="B36" s="10"/>
      <c r="C36" s="10"/>
      <c r="D36" s="5"/>
      <c r="E36" s="6"/>
      <c r="F36" s="7"/>
      <c r="G36" s="7"/>
      <c r="H36" s="10"/>
      <c r="I36" s="10"/>
      <c r="J36" s="10"/>
      <c r="K36" s="10"/>
      <c r="L36" s="10"/>
      <c r="M36" s="10"/>
      <c r="N36" s="10"/>
      <c r="O36" s="10"/>
      <c r="P36" s="10"/>
      <c r="Q36" s="8"/>
      <c r="R36" s="10"/>
    </row>
    <row r="37" spans="1:18">
      <c r="A37" s="8"/>
      <c r="B37" s="10"/>
      <c r="C37" s="10"/>
      <c r="D37" s="5"/>
      <c r="E37" s="6"/>
      <c r="F37" s="7"/>
      <c r="G37" s="7"/>
      <c r="H37" s="10"/>
      <c r="I37" s="10"/>
      <c r="J37" s="10"/>
      <c r="K37" s="10"/>
      <c r="L37" s="10"/>
      <c r="M37" s="10"/>
      <c r="N37" s="10"/>
      <c r="O37" s="10"/>
      <c r="P37" s="10"/>
      <c r="Q37" s="8"/>
      <c r="R37" s="10"/>
    </row>
    <row r="38" spans="1:18">
      <c r="A38" s="8"/>
      <c r="B38" s="10"/>
      <c r="C38" s="10"/>
      <c r="D38" s="5"/>
      <c r="E38" s="6"/>
      <c r="F38" s="7"/>
      <c r="G38" s="7"/>
      <c r="H38" s="10"/>
      <c r="I38" s="10"/>
      <c r="J38" s="10"/>
      <c r="K38" s="10"/>
      <c r="L38" s="10"/>
      <c r="M38" s="10"/>
      <c r="N38" s="10"/>
      <c r="O38" s="10"/>
      <c r="P38" s="10"/>
      <c r="Q38" s="8"/>
      <c r="R38" s="10"/>
    </row>
    <row r="39" spans="1:18">
      <c r="A39" s="8"/>
      <c r="B39" s="10"/>
      <c r="C39" s="10"/>
      <c r="D39" s="5"/>
      <c r="E39" s="6"/>
      <c r="F39" s="7"/>
      <c r="G39" s="7"/>
      <c r="H39" s="10"/>
      <c r="I39" s="10"/>
      <c r="J39" s="10"/>
      <c r="K39" s="10"/>
      <c r="L39" s="10"/>
      <c r="M39" s="10"/>
      <c r="N39" s="10"/>
      <c r="O39" s="10"/>
      <c r="P39" s="10"/>
      <c r="Q39" s="8"/>
      <c r="R39" s="10"/>
    </row>
    <row r="40" spans="1:18">
      <c r="A40" s="8"/>
      <c r="B40" s="10"/>
      <c r="C40" s="10"/>
      <c r="D40" s="5"/>
      <c r="E40" s="6"/>
      <c r="F40" s="7"/>
      <c r="G40" s="7"/>
      <c r="H40" s="10"/>
      <c r="I40" s="10"/>
      <c r="J40" s="10"/>
      <c r="K40" s="10"/>
      <c r="L40" s="10"/>
      <c r="M40" s="10"/>
      <c r="N40" s="10"/>
      <c r="O40" s="10"/>
      <c r="P40" s="10"/>
      <c r="Q40" s="8"/>
      <c r="R40" s="10"/>
    </row>
    <row r="41" spans="1:18">
      <c r="A41" s="8"/>
      <c r="B41" s="10"/>
      <c r="C41" s="10"/>
      <c r="D41" s="5"/>
      <c r="E41" s="6"/>
      <c r="F41" s="7"/>
      <c r="G41" s="7"/>
      <c r="H41" s="10"/>
      <c r="I41" s="10"/>
      <c r="J41" s="10"/>
      <c r="K41" s="10"/>
      <c r="L41" s="10"/>
      <c r="M41" s="10"/>
      <c r="N41" s="10"/>
      <c r="O41" s="10"/>
      <c r="P41" s="10"/>
      <c r="Q41" s="8"/>
      <c r="R41" s="10"/>
    </row>
    <row r="42" spans="1:18">
      <c r="A42" s="8"/>
      <c r="B42" s="10"/>
      <c r="C42" s="10"/>
      <c r="D42" s="5"/>
      <c r="E42" s="6"/>
      <c r="F42" s="7"/>
      <c r="G42" s="7"/>
      <c r="H42" s="10"/>
      <c r="I42" s="10"/>
      <c r="J42" s="10"/>
      <c r="K42" s="10"/>
      <c r="L42" s="10"/>
      <c r="M42" s="10"/>
      <c r="N42" s="10"/>
      <c r="O42" s="10"/>
      <c r="P42" s="10"/>
      <c r="Q42" s="8"/>
      <c r="R42" s="10"/>
    </row>
    <row r="43" spans="1:18">
      <c r="A43" s="8"/>
      <c r="B43" s="10"/>
      <c r="C43" s="10"/>
      <c r="D43" s="5"/>
      <c r="E43" s="6"/>
      <c r="F43" s="7"/>
      <c r="G43" s="7"/>
      <c r="H43" s="10"/>
      <c r="I43" s="10"/>
      <c r="J43" s="10"/>
      <c r="K43" s="10"/>
      <c r="L43" s="10"/>
      <c r="M43" s="10"/>
      <c r="N43" s="10"/>
      <c r="O43" s="10"/>
      <c r="P43" s="10"/>
      <c r="Q43" s="8"/>
      <c r="R43" s="10"/>
    </row>
    <row r="44" spans="1:18">
      <c r="A44" s="8"/>
      <c r="B44" s="10"/>
      <c r="C44" s="10"/>
      <c r="D44" s="5"/>
      <c r="E44" s="6"/>
      <c r="F44" s="7"/>
      <c r="G44" s="7"/>
      <c r="H44" s="10"/>
      <c r="I44" s="10"/>
      <c r="J44" s="10"/>
      <c r="K44" s="10"/>
      <c r="L44" s="10"/>
      <c r="M44" s="10"/>
      <c r="N44" s="10"/>
      <c r="O44" s="10"/>
      <c r="P44" s="10"/>
      <c r="Q44" s="8"/>
      <c r="R44" s="10"/>
    </row>
    <row r="45" spans="1:18">
      <c r="A45" s="8"/>
      <c r="B45" s="10"/>
      <c r="C45" s="10"/>
      <c r="D45" s="5"/>
      <c r="E45" s="6"/>
      <c r="F45" s="7"/>
      <c r="G45" s="7"/>
      <c r="H45" s="10"/>
      <c r="I45" s="10"/>
      <c r="J45" s="10"/>
      <c r="K45" s="10"/>
      <c r="L45" s="10"/>
      <c r="M45" s="10"/>
      <c r="N45" s="10"/>
      <c r="O45" s="10"/>
      <c r="P45" s="10"/>
      <c r="Q45" s="8"/>
      <c r="R45" s="10"/>
    </row>
    <row r="46" spans="1:18">
      <c r="A46" s="8"/>
      <c r="B46" s="10"/>
      <c r="C46" s="10"/>
      <c r="D46" s="5"/>
      <c r="E46" s="6"/>
      <c r="F46" s="7"/>
      <c r="G46" s="7"/>
      <c r="H46" s="10"/>
      <c r="I46" s="10"/>
      <c r="J46" s="10"/>
      <c r="K46" s="10"/>
      <c r="L46" s="10"/>
      <c r="M46" s="10"/>
      <c r="N46" s="10"/>
      <c r="O46" s="10"/>
      <c r="P46" s="10"/>
      <c r="Q46" s="8"/>
      <c r="R46" s="10"/>
    </row>
    <row r="47" spans="1:18">
      <c r="A47" s="8"/>
      <c r="B47" s="10"/>
      <c r="C47" s="10"/>
      <c r="D47" s="5"/>
      <c r="E47" s="6"/>
      <c r="F47" s="7"/>
      <c r="G47" s="7"/>
      <c r="H47" s="10"/>
      <c r="I47" s="10"/>
      <c r="J47" s="10"/>
      <c r="K47" s="10"/>
      <c r="L47" s="10"/>
      <c r="M47" s="10"/>
      <c r="N47" s="10"/>
      <c r="O47" s="10"/>
      <c r="P47" s="10"/>
      <c r="Q47" s="8"/>
      <c r="R47" s="10"/>
    </row>
    <row r="48" spans="1:18">
      <c r="A48" s="8"/>
      <c r="B48" s="10"/>
      <c r="C48" s="10"/>
      <c r="D48" s="5"/>
      <c r="E48" s="6"/>
      <c r="F48" s="7"/>
      <c r="G48" s="7"/>
      <c r="H48" s="10"/>
      <c r="I48" s="10"/>
      <c r="J48" s="10"/>
      <c r="K48" s="10"/>
      <c r="L48" s="10"/>
      <c r="M48" s="10"/>
      <c r="N48" s="10"/>
      <c r="O48" s="10"/>
      <c r="P48" s="10"/>
      <c r="Q48" s="8"/>
      <c r="R48" s="10"/>
    </row>
    <row r="49" spans="1:18">
      <c r="A49" s="8"/>
      <c r="B49" s="10"/>
      <c r="C49" s="10"/>
      <c r="D49" s="5"/>
      <c r="E49" s="6"/>
      <c r="F49" s="7"/>
      <c r="G49" s="7"/>
      <c r="H49" s="10"/>
      <c r="I49" s="10"/>
      <c r="J49" s="10"/>
      <c r="K49" s="10"/>
      <c r="L49" s="10"/>
      <c r="M49" s="10"/>
      <c r="N49" s="10"/>
      <c r="O49" s="10"/>
      <c r="P49" s="10"/>
      <c r="Q49" s="8"/>
      <c r="R49" s="10"/>
    </row>
    <row r="50" spans="1:18">
      <c r="A50" s="8"/>
      <c r="B50" s="10"/>
      <c r="C50" s="10"/>
      <c r="D50" s="5"/>
      <c r="E50" s="6"/>
      <c r="F50" s="7"/>
      <c r="G50" s="7"/>
      <c r="H50" s="10"/>
      <c r="I50" s="10"/>
      <c r="J50" s="10"/>
      <c r="K50" s="10"/>
      <c r="L50" s="10"/>
      <c r="M50" s="10"/>
      <c r="N50" s="10"/>
      <c r="O50" s="10"/>
      <c r="P50" s="10"/>
      <c r="Q50" s="8"/>
      <c r="R50" s="10"/>
    </row>
    <row r="51" spans="1:18">
      <c r="A51" s="8"/>
      <c r="B51" s="10"/>
      <c r="C51" s="10"/>
      <c r="D51" s="5"/>
      <c r="E51" s="6"/>
      <c r="F51" s="7"/>
      <c r="G51" s="7"/>
      <c r="H51" s="10"/>
      <c r="I51" s="10"/>
      <c r="J51" s="10"/>
      <c r="K51" s="10"/>
      <c r="L51" s="10"/>
      <c r="M51" s="10"/>
      <c r="N51" s="10"/>
      <c r="O51" s="10"/>
      <c r="P51" s="10"/>
      <c r="Q51" s="8"/>
      <c r="R51" s="10"/>
    </row>
    <row r="52" spans="1:18">
      <c r="A52" s="8"/>
      <c r="B52" s="10"/>
      <c r="C52" s="10"/>
      <c r="D52" s="5"/>
      <c r="E52" s="6"/>
      <c r="F52" s="7"/>
      <c r="G52" s="7"/>
      <c r="H52" s="10"/>
      <c r="I52" s="10"/>
      <c r="J52" s="10"/>
      <c r="K52" s="10"/>
      <c r="L52" s="10"/>
      <c r="M52" s="10"/>
      <c r="N52" s="10"/>
      <c r="O52" s="10"/>
      <c r="P52" s="10"/>
      <c r="Q52" s="8"/>
      <c r="R52" s="10"/>
    </row>
    <row r="53" spans="1:18">
      <c r="A53" s="8"/>
      <c r="B53" s="10"/>
      <c r="C53" s="10"/>
      <c r="D53" s="5"/>
      <c r="E53" s="6"/>
      <c r="F53" s="7"/>
      <c r="G53" s="7"/>
      <c r="H53" s="10"/>
      <c r="I53" s="10"/>
      <c r="J53" s="10"/>
      <c r="K53" s="10"/>
      <c r="L53" s="10"/>
      <c r="M53" s="10"/>
      <c r="N53" s="10"/>
      <c r="O53" s="10"/>
      <c r="P53" s="10"/>
      <c r="Q53" s="8"/>
      <c r="R53" s="10"/>
    </row>
    <row r="54" spans="1:18">
      <c r="A54" s="8"/>
      <c r="B54" s="10"/>
      <c r="C54" s="10"/>
      <c r="D54" s="5"/>
      <c r="E54" s="6"/>
      <c r="F54" s="7"/>
      <c r="G54" s="7"/>
      <c r="H54" s="10"/>
      <c r="I54" s="10"/>
      <c r="J54" s="10"/>
      <c r="K54" s="10"/>
      <c r="L54" s="10"/>
      <c r="M54" s="10"/>
      <c r="N54" s="10"/>
      <c r="O54" s="10"/>
      <c r="P54" s="10"/>
      <c r="Q54" s="8"/>
      <c r="R54" s="10"/>
    </row>
    <row r="55" spans="1:18">
      <c r="A55" s="8"/>
      <c r="B55" s="10"/>
      <c r="C55" s="10"/>
      <c r="D55" s="5"/>
      <c r="E55" s="6"/>
      <c r="F55" s="7"/>
      <c r="G55" s="7"/>
      <c r="H55" s="10"/>
      <c r="I55" s="10"/>
      <c r="J55" s="10"/>
      <c r="K55" s="10"/>
      <c r="L55" s="10"/>
      <c r="M55" s="10"/>
      <c r="N55" s="10"/>
      <c r="O55" s="10"/>
      <c r="P55" s="10"/>
      <c r="Q55" s="8"/>
      <c r="R55" s="10"/>
    </row>
    <row r="56" spans="1:18">
      <c r="A56" s="8"/>
      <c r="B56" s="10"/>
      <c r="C56" s="10"/>
      <c r="D56" s="5"/>
      <c r="E56" s="6"/>
      <c r="F56" s="7"/>
      <c r="G56" s="7"/>
      <c r="H56" s="10"/>
      <c r="I56" s="10"/>
      <c r="J56" s="10"/>
      <c r="K56" s="10"/>
      <c r="L56" s="10"/>
      <c r="M56" s="10"/>
      <c r="N56" s="10"/>
      <c r="O56" s="10"/>
      <c r="P56" s="10"/>
      <c r="Q56" s="8"/>
      <c r="R56" s="10"/>
    </row>
    <row r="57" spans="1:18">
      <c r="A57" s="8"/>
      <c r="B57" s="10"/>
      <c r="C57" s="10"/>
      <c r="D57" s="5"/>
      <c r="E57" s="6"/>
      <c r="F57" s="7"/>
      <c r="G57" s="7"/>
      <c r="H57" s="10"/>
      <c r="I57" s="10"/>
      <c r="J57" s="10"/>
      <c r="K57" s="10"/>
      <c r="L57" s="10"/>
      <c r="M57" s="10"/>
      <c r="N57" s="10"/>
      <c r="O57" s="10"/>
      <c r="P57" s="10"/>
      <c r="Q57" s="8"/>
      <c r="R57" s="10"/>
    </row>
    <row r="58" spans="1:18">
      <c r="A58" s="8"/>
      <c r="B58" s="10"/>
      <c r="C58" s="10"/>
      <c r="D58" s="5"/>
      <c r="E58" s="6"/>
      <c r="F58" s="7"/>
      <c r="G58" s="7"/>
      <c r="H58" s="10"/>
      <c r="I58" s="10"/>
      <c r="J58" s="10"/>
      <c r="K58" s="10"/>
      <c r="L58" s="10"/>
      <c r="M58" s="10"/>
      <c r="N58" s="10"/>
      <c r="O58" s="10"/>
      <c r="P58" s="10"/>
      <c r="Q58" s="8"/>
      <c r="R58" s="10"/>
    </row>
    <row r="59" spans="1:18">
      <c r="A59" s="8"/>
      <c r="B59" s="10"/>
      <c r="C59" s="10"/>
      <c r="D59" s="5"/>
      <c r="E59" s="6"/>
      <c r="F59" s="7"/>
      <c r="G59" s="7"/>
      <c r="H59" s="10"/>
      <c r="I59" s="10"/>
      <c r="J59" s="10"/>
      <c r="K59" s="10"/>
      <c r="L59" s="10"/>
      <c r="M59" s="10"/>
      <c r="N59" s="10"/>
      <c r="O59" s="10"/>
      <c r="P59" s="10"/>
      <c r="Q59" s="8"/>
      <c r="R59" s="10"/>
    </row>
    <row r="60" spans="1:18">
      <c r="A60" s="8"/>
      <c r="B60" s="10"/>
      <c r="C60" s="10"/>
      <c r="D60" s="5"/>
      <c r="E60" s="6"/>
      <c r="F60" s="7"/>
      <c r="G60" s="7"/>
      <c r="H60" s="10"/>
      <c r="I60" s="10"/>
      <c r="J60" s="10"/>
      <c r="K60" s="10"/>
      <c r="L60" s="10"/>
      <c r="M60" s="10"/>
      <c r="N60" s="10"/>
      <c r="O60" s="10"/>
      <c r="P60" s="10"/>
      <c r="Q60" s="8"/>
      <c r="R60" s="10"/>
    </row>
    <row r="61" spans="1:18">
      <c r="A61" s="8"/>
      <c r="B61" s="10"/>
      <c r="C61" s="10"/>
      <c r="D61" s="5"/>
      <c r="E61" s="6"/>
      <c r="F61" s="7"/>
      <c r="G61" s="7"/>
      <c r="H61" s="10"/>
      <c r="I61" s="10"/>
      <c r="J61" s="10"/>
      <c r="K61" s="10"/>
      <c r="L61" s="10"/>
      <c r="M61" s="10"/>
      <c r="N61" s="10"/>
      <c r="O61" s="10"/>
      <c r="P61" s="10"/>
      <c r="Q61" s="8"/>
      <c r="R61" s="10"/>
    </row>
    <row r="62" spans="1:18">
      <c r="A62" s="8"/>
      <c r="B62" s="10"/>
      <c r="C62" s="10"/>
      <c r="D62" s="5"/>
      <c r="E62" s="6"/>
      <c r="F62" s="7"/>
      <c r="G62" s="7"/>
      <c r="H62" s="10"/>
      <c r="I62" s="10"/>
      <c r="J62" s="10"/>
      <c r="K62" s="10"/>
      <c r="L62" s="10"/>
      <c r="M62" s="10"/>
      <c r="N62" s="10"/>
      <c r="O62" s="10"/>
      <c r="P62" s="10"/>
      <c r="Q62" s="8"/>
      <c r="R62" s="10"/>
    </row>
    <row r="63" spans="1:18">
      <c r="A63" s="8"/>
      <c r="B63" s="10"/>
      <c r="C63" s="10"/>
      <c r="D63" s="5"/>
      <c r="E63" s="6"/>
      <c r="F63" s="7"/>
      <c r="G63" s="7"/>
      <c r="H63" s="10"/>
      <c r="I63" s="10"/>
      <c r="J63" s="10"/>
      <c r="K63" s="10"/>
      <c r="L63" s="10"/>
      <c r="M63" s="10"/>
      <c r="N63" s="10"/>
      <c r="O63" s="10"/>
      <c r="P63" s="10"/>
      <c r="Q63" s="8"/>
      <c r="R63" s="10"/>
    </row>
    <row r="64" spans="1:18">
      <c r="A64" s="8"/>
      <c r="B64" s="10"/>
      <c r="C64" s="10"/>
      <c r="D64" s="5"/>
      <c r="E64" s="6"/>
      <c r="F64" s="7"/>
      <c r="G64" s="7"/>
      <c r="H64" s="10"/>
      <c r="I64" s="10"/>
      <c r="J64" s="10"/>
      <c r="K64" s="10"/>
      <c r="L64" s="10"/>
      <c r="M64" s="10"/>
      <c r="N64" s="10"/>
      <c r="O64" s="10"/>
      <c r="P64" s="10"/>
      <c r="Q64" s="8"/>
      <c r="R64" s="10"/>
    </row>
    <row r="65" spans="1:18">
      <c r="A65" s="8"/>
      <c r="B65" s="10"/>
      <c r="C65" s="10"/>
      <c r="D65" s="5"/>
      <c r="E65" s="6"/>
      <c r="F65" s="7"/>
      <c r="G65" s="7"/>
      <c r="H65" s="10"/>
      <c r="I65" s="10"/>
      <c r="J65" s="10"/>
      <c r="K65" s="10"/>
      <c r="L65" s="10"/>
      <c r="M65" s="10"/>
      <c r="N65" s="10"/>
      <c r="O65" s="10"/>
      <c r="P65" s="10"/>
      <c r="Q65" s="8"/>
      <c r="R65" s="10"/>
    </row>
    <row r="66" spans="1:18">
      <c r="A66" s="8"/>
      <c r="B66" s="10"/>
      <c r="C66" s="10"/>
      <c r="D66" s="5"/>
      <c r="E66" s="6"/>
      <c r="F66" s="7"/>
      <c r="G66" s="7"/>
      <c r="H66" s="10"/>
      <c r="I66" s="10"/>
      <c r="J66" s="10"/>
      <c r="K66" s="10"/>
      <c r="L66" s="10"/>
      <c r="M66" s="10"/>
      <c r="N66" s="10"/>
      <c r="O66" s="10"/>
      <c r="P66" s="10"/>
      <c r="Q66" s="8"/>
      <c r="R66" s="10"/>
    </row>
    <row r="67" spans="1:18">
      <c r="A67" s="8"/>
      <c r="B67" s="10"/>
      <c r="C67" s="10"/>
      <c r="D67" s="5"/>
      <c r="E67" s="6"/>
      <c r="F67" s="7"/>
      <c r="G67" s="7"/>
      <c r="H67" s="10"/>
      <c r="I67" s="10"/>
      <c r="J67" s="10"/>
      <c r="K67" s="10"/>
      <c r="L67" s="10"/>
      <c r="M67" s="10"/>
      <c r="N67" s="10"/>
      <c r="O67" s="10"/>
      <c r="P67" s="10"/>
      <c r="Q67" s="8"/>
      <c r="R67" s="10"/>
    </row>
    <row r="68" spans="1:18">
      <c r="A68" s="8"/>
      <c r="B68" s="10"/>
      <c r="C68" s="10"/>
      <c r="D68" s="5"/>
      <c r="E68" s="6"/>
      <c r="F68" s="7"/>
      <c r="G68" s="7"/>
      <c r="H68" s="10"/>
      <c r="I68" s="10"/>
      <c r="J68" s="10"/>
      <c r="K68" s="10"/>
      <c r="L68" s="10"/>
      <c r="M68" s="10"/>
      <c r="N68" s="10"/>
      <c r="O68" s="10"/>
      <c r="P68" s="10"/>
      <c r="Q68" s="8"/>
      <c r="R68" s="10"/>
    </row>
    <row r="69" spans="1:18">
      <c r="A69" s="8"/>
      <c r="B69" s="10"/>
      <c r="C69" s="10"/>
      <c r="D69" s="5"/>
      <c r="E69" s="6"/>
      <c r="F69" s="7"/>
      <c r="G69" s="7"/>
      <c r="H69" s="10"/>
      <c r="I69" s="10"/>
      <c r="J69" s="10"/>
      <c r="K69" s="10"/>
      <c r="L69" s="10"/>
      <c r="M69" s="10"/>
      <c r="N69" s="10"/>
      <c r="O69" s="10"/>
      <c r="P69" s="10"/>
      <c r="Q69" s="8"/>
      <c r="R69" s="10"/>
    </row>
    <row r="70" spans="1:18">
      <c r="A70" s="8"/>
      <c r="B70" s="10"/>
      <c r="C70" s="10"/>
      <c r="D70" s="5"/>
      <c r="E70" s="6"/>
      <c r="F70" s="7"/>
      <c r="G70" s="7"/>
      <c r="H70" s="10"/>
      <c r="I70" s="10"/>
      <c r="J70" s="10"/>
      <c r="K70" s="10"/>
      <c r="L70" s="10"/>
      <c r="M70" s="10"/>
      <c r="N70" s="10"/>
      <c r="O70" s="10"/>
      <c r="P70" s="10"/>
      <c r="Q70" s="8"/>
      <c r="R70" s="10"/>
    </row>
    <row r="71" spans="1:18">
      <c r="A71" s="8"/>
      <c r="B71" s="10"/>
      <c r="C71" s="10"/>
      <c r="D71" s="5"/>
      <c r="E71" s="6"/>
      <c r="F71" s="7"/>
      <c r="G71" s="7"/>
      <c r="H71" s="10"/>
      <c r="I71" s="10"/>
      <c r="J71" s="10"/>
      <c r="K71" s="10"/>
      <c r="L71" s="10"/>
      <c r="M71" s="10"/>
      <c r="N71" s="10"/>
      <c r="O71" s="10"/>
      <c r="P71" s="10"/>
      <c r="Q71" s="8"/>
      <c r="R71" s="10"/>
    </row>
    <row r="72" spans="1:18">
      <c r="A72" s="8"/>
      <c r="B72" s="10"/>
      <c r="C72" s="10"/>
      <c r="D72" s="5"/>
      <c r="E72" s="6"/>
      <c r="F72" s="7"/>
      <c r="G72" s="7"/>
      <c r="H72" s="10"/>
      <c r="I72" s="10"/>
      <c r="J72" s="10"/>
      <c r="K72" s="10"/>
      <c r="L72" s="10"/>
      <c r="M72" s="10"/>
      <c r="N72" s="10"/>
      <c r="O72" s="10"/>
      <c r="P72" s="10"/>
      <c r="Q72" s="8"/>
      <c r="R72" s="10"/>
    </row>
    <row r="73" spans="1:18">
      <c r="A73" s="8"/>
      <c r="B73" s="10"/>
      <c r="C73" s="10"/>
      <c r="D73" s="5"/>
      <c r="E73" s="6"/>
      <c r="F73" s="7"/>
      <c r="G73" s="7"/>
      <c r="H73" s="10"/>
      <c r="I73" s="10"/>
      <c r="J73" s="10"/>
      <c r="K73" s="10"/>
      <c r="L73" s="10"/>
      <c r="M73" s="10"/>
      <c r="N73" s="10"/>
      <c r="O73" s="10"/>
      <c r="P73" s="10"/>
      <c r="Q73" s="8"/>
      <c r="R73" s="10"/>
    </row>
    <row r="74" spans="1:18">
      <c r="A74" s="8"/>
      <c r="B74" s="10"/>
      <c r="C74" s="10"/>
      <c r="D74" s="5"/>
      <c r="E74" s="6"/>
      <c r="F74" s="7"/>
      <c r="G74" s="7"/>
      <c r="H74" s="10"/>
      <c r="I74" s="10"/>
      <c r="J74" s="10"/>
      <c r="K74" s="10"/>
      <c r="L74" s="10"/>
      <c r="M74" s="10"/>
      <c r="N74" s="10"/>
      <c r="O74" s="10"/>
      <c r="P74" s="10"/>
      <c r="Q74" s="8"/>
      <c r="R74" s="10"/>
    </row>
    <row r="75" spans="1:18">
      <c r="A75" s="8"/>
      <c r="B75" s="10"/>
      <c r="C75" s="10"/>
      <c r="D75" s="5"/>
      <c r="E75" s="6"/>
      <c r="F75" s="7"/>
      <c r="G75" s="7"/>
      <c r="H75" s="10"/>
      <c r="I75" s="10"/>
      <c r="J75" s="10"/>
      <c r="K75" s="10"/>
      <c r="L75" s="10"/>
      <c r="M75" s="10"/>
      <c r="N75" s="10"/>
      <c r="O75" s="10"/>
      <c r="P75" s="10"/>
      <c r="Q75" s="8"/>
      <c r="R75" s="10"/>
    </row>
    <row r="76" spans="1:18">
      <c r="A76" s="8"/>
      <c r="B76" s="10"/>
      <c r="C76" s="10"/>
      <c r="D76" s="5"/>
      <c r="E76" s="6"/>
      <c r="F76" s="7"/>
      <c r="G76" s="7"/>
      <c r="H76" s="10"/>
      <c r="I76" s="10"/>
      <c r="J76" s="10"/>
      <c r="K76" s="10"/>
      <c r="L76" s="10"/>
      <c r="M76" s="10"/>
      <c r="N76" s="10"/>
      <c r="O76" s="10"/>
      <c r="P76" s="10"/>
      <c r="Q76" s="8"/>
      <c r="R76" s="10"/>
    </row>
    <row r="77" spans="1:18">
      <c r="A77" s="8"/>
      <c r="B77" s="10"/>
      <c r="C77" s="10"/>
      <c r="D77" s="5"/>
      <c r="E77" s="6"/>
      <c r="F77" s="7"/>
      <c r="G77" s="7"/>
      <c r="H77" s="10"/>
      <c r="I77" s="10"/>
      <c r="J77" s="10"/>
      <c r="K77" s="10"/>
      <c r="L77" s="10"/>
      <c r="M77" s="10"/>
      <c r="N77" s="10"/>
      <c r="O77" s="10"/>
      <c r="P77" s="10"/>
      <c r="Q77" s="8"/>
      <c r="R77" s="10"/>
    </row>
    <row r="78" spans="1:18">
      <c r="A78" s="8"/>
      <c r="B78" s="10"/>
      <c r="C78" s="10"/>
      <c r="D78" s="5"/>
      <c r="E78" s="6"/>
      <c r="F78" s="7"/>
      <c r="G78" s="7"/>
      <c r="H78" s="10"/>
      <c r="I78" s="10"/>
      <c r="J78" s="10"/>
      <c r="K78" s="10"/>
      <c r="L78" s="10"/>
      <c r="M78" s="10"/>
      <c r="N78" s="10"/>
      <c r="O78" s="10"/>
      <c r="P78" s="10"/>
      <c r="Q78" s="8"/>
      <c r="R78" s="10"/>
    </row>
    <row r="79" spans="1:18">
      <c r="A79" s="8"/>
      <c r="B79" s="10"/>
      <c r="C79" s="10"/>
      <c r="D79" s="5"/>
      <c r="E79" s="6"/>
      <c r="F79" s="7"/>
      <c r="G79" s="7"/>
      <c r="H79" s="10"/>
      <c r="I79" s="10"/>
      <c r="J79" s="10"/>
      <c r="K79" s="10"/>
      <c r="L79" s="10"/>
      <c r="M79" s="10"/>
      <c r="N79" s="10"/>
      <c r="O79" s="10"/>
      <c r="P79" s="10"/>
      <c r="Q79" s="8"/>
      <c r="R79" s="10"/>
    </row>
    <row r="80" spans="1:18">
      <c r="A80" s="8"/>
      <c r="B80" s="10"/>
      <c r="C80" s="10"/>
      <c r="D80" s="5"/>
      <c r="E80" s="6"/>
      <c r="F80" s="7"/>
      <c r="G80" s="7"/>
      <c r="H80" s="10"/>
      <c r="I80" s="10"/>
      <c r="J80" s="10"/>
      <c r="K80" s="10"/>
      <c r="L80" s="10"/>
      <c r="M80" s="10"/>
      <c r="N80" s="10"/>
      <c r="O80" s="10"/>
      <c r="P80" s="10"/>
      <c r="Q80" s="8"/>
      <c r="R80" s="10"/>
    </row>
    <row r="81" spans="1:18">
      <c r="A81" s="8"/>
      <c r="B81" s="10"/>
      <c r="C81" s="10"/>
      <c r="D81" s="5"/>
      <c r="E81" s="6"/>
      <c r="F81" s="7"/>
      <c r="G81" s="7"/>
      <c r="H81" s="10"/>
      <c r="I81" s="10"/>
      <c r="J81" s="10"/>
      <c r="K81" s="10"/>
      <c r="L81" s="10"/>
      <c r="M81" s="10"/>
      <c r="N81" s="10"/>
      <c r="O81" s="10"/>
      <c r="P81" s="10"/>
      <c r="Q81" s="8"/>
      <c r="R81" s="10"/>
    </row>
    <row r="82" spans="1:18">
      <c r="A82" s="8"/>
      <c r="B82" s="10"/>
      <c r="C82" s="10"/>
      <c r="D82" s="5"/>
      <c r="E82" s="6"/>
      <c r="F82" s="7"/>
      <c r="G82" s="7"/>
      <c r="H82" s="10"/>
      <c r="I82" s="10"/>
      <c r="J82" s="10"/>
      <c r="K82" s="10"/>
      <c r="L82" s="10"/>
      <c r="M82" s="10"/>
      <c r="N82" s="10"/>
      <c r="O82" s="10"/>
      <c r="P82" s="10"/>
      <c r="Q82" s="8"/>
      <c r="R82" s="10"/>
    </row>
    <row r="83" spans="1:18">
      <c r="A83" s="8"/>
      <c r="B83" s="10"/>
      <c r="C83" s="10"/>
      <c r="D83" s="5"/>
      <c r="E83" s="6"/>
      <c r="F83" s="7"/>
      <c r="G83" s="7"/>
      <c r="H83" s="10"/>
      <c r="I83" s="10"/>
      <c r="J83" s="10"/>
      <c r="K83" s="10"/>
      <c r="L83" s="10"/>
      <c r="M83" s="10"/>
      <c r="N83" s="10"/>
      <c r="O83" s="10"/>
      <c r="P83" s="10"/>
      <c r="Q83" s="8"/>
      <c r="R83" s="10"/>
    </row>
    <row r="84" spans="1:18">
      <c r="A84" s="8"/>
      <c r="B84" s="10"/>
      <c r="C84" s="10"/>
      <c r="D84" s="5"/>
      <c r="E84" s="6"/>
      <c r="F84" s="7"/>
      <c r="G84" s="7"/>
      <c r="H84" s="10"/>
      <c r="I84" s="10"/>
      <c r="J84" s="10"/>
      <c r="K84" s="10"/>
      <c r="L84" s="10"/>
      <c r="M84" s="10"/>
      <c r="N84" s="10"/>
      <c r="O84" s="10"/>
      <c r="P84" s="10"/>
      <c r="Q84" s="8"/>
      <c r="R84" s="10"/>
    </row>
    <row r="85" spans="1:18">
      <c r="A85" s="8"/>
      <c r="B85" s="10"/>
      <c r="C85" s="10"/>
      <c r="D85" s="5"/>
      <c r="E85" s="6"/>
      <c r="F85" s="7"/>
      <c r="G85" s="7"/>
      <c r="H85" s="10"/>
      <c r="I85" s="10"/>
      <c r="J85" s="10"/>
      <c r="K85" s="10"/>
      <c r="L85" s="10"/>
      <c r="M85" s="10"/>
      <c r="N85" s="10"/>
      <c r="O85" s="10"/>
      <c r="P85" s="10"/>
      <c r="Q85" s="8"/>
      <c r="R85" s="10"/>
    </row>
    <row r="86" spans="1:18">
      <c r="A86" s="8"/>
      <c r="B86" s="10"/>
      <c r="C86" s="10"/>
      <c r="D86" s="5"/>
      <c r="E86" s="6"/>
      <c r="F86" s="7"/>
      <c r="G86" s="7"/>
      <c r="H86" s="10"/>
      <c r="I86" s="10"/>
      <c r="J86" s="10"/>
      <c r="K86" s="10"/>
      <c r="L86" s="10"/>
      <c r="M86" s="10"/>
      <c r="N86" s="10"/>
      <c r="O86" s="10"/>
      <c r="P86" s="10"/>
      <c r="Q86" s="8"/>
      <c r="R86" s="10"/>
    </row>
    <row r="87" spans="1:18">
      <c r="A87" s="8"/>
      <c r="B87" s="10"/>
      <c r="C87" s="10"/>
      <c r="D87" s="5"/>
      <c r="E87" s="6"/>
      <c r="F87" s="7"/>
      <c r="G87" s="7"/>
      <c r="H87" s="10"/>
      <c r="I87" s="10"/>
      <c r="J87" s="10"/>
      <c r="K87" s="10"/>
      <c r="L87" s="10"/>
      <c r="M87" s="10"/>
      <c r="N87" s="10"/>
      <c r="O87" s="10"/>
      <c r="P87" s="10"/>
      <c r="Q87" s="8"/>
      <c r="R87" s="10"/>
    </row>
    <row r="88" spans="1:18">
      <c r="A88" s="8"/>
      <c r="B88" s="10"/>
      <c r="C88" s="10"/>
      <c r="D88" s="5"/>
      <c r="E88" s="6"/>
      <c r="F88" s="7"/>
      <c r="G88" s="7"/>
      <c r="H88" s="10"/>
      <c r="I88" s="10"/>
      <c r="J88" s="10"/>
      <c r="K88" s="10"/>
      <c r="L88" s="10"/>
      <c r="M88" s="10"/>
      <c r="N88" s="10"/>
      <c r="O88" s="10"/>
      <c r="P88" s="10"/>
      <c r="Q88" s="8"/>
      <c r="R88" s="10"/>
    </row>
    <row r="89" spans="1:18">
      <c r="A89" s="8"/>
      <c r="B89" s="10"/>
      <c r="C89" s="10"/>
      <c r="D89" s="5"/>
      <c r="E89" s="6"/>
      <c r="F89" s="7"/>
      <c r="G89" s="7"/>
      <c r="H89" s="10"/>
      <c r="I89" s="10"/>
      <c r="J89" s="10"/>
      <c r="K89" s="10"/>
      <c r="L89" s="10"/>
      <c r="M89" s="10"/>
      <c r="N89" s="10"/>
      <c r="O89" s="10"/>
      <c r="P89" s="10"/>
      <c r="Q89" s="8"/>
      <c r="R89" s="10"/>
    </row>
    <row r="90" spans="1:18">
      <c r="A90" s="8"/>
      <c r="B90" s="10"/>
      <c r="C90" s="10"/>
      <c r="D90" s="5"/>
      <c r="E90" s="6"/>
      <c r="F90" s="7"/>
      <c r="G90" s="7"/>
      <c r="H90" s="10"/>
      <c r="I90" s="10"/>
      <c r="J90" s="10"/>
      <c r="K90" s="10"/>
      <c r="L90" s="10"/>
      <c r="M90" s="10"/>
      <c r="N90" s="10"/>
      <c r="O90" s="10"/>
      <c r="P90" s="10"/>
      <c r="Q90" s="8"/>
      <c r="R90" s="10"/>
    </row>
    <row r="91" spans="1:18">
      <c r="A91" s="8"/>
      <c r="B91" s="10"/>
      <c r="C91" s="10"/>
      <c r="D91" s="5"/>
      <c r="E91" s="6"/>
      <c r="F91" s="7"/>
      <c r="G91" s="7"/>
      <c r="H91" s="10"/>
      <c r="I91" s="10"/>
      <c r="J91" s="10"/>
      <c r="K91" s="10"/>
      <c r="L91" s="10"/>
      <c r="M91" s="10"/>
      <c r="N91" s="10"/>
      <c r="O91" s="10"/>
      <c r="P91" s="10"/>
      <c r="Q91" s="8"/>
      <c r="R91" s="10"/>
    </row>
    <row r="92" spans="1:18">
      <c r="A92" s="8"/>
      <c r="B92" s="10"/>
      <c r="C92" s="10"/>
      <c r="D92" s="5"/>
      <c r="E92" s="6"/>
      <c r="F92" s="7"/>
      <c r="G92" s="7"/>
      <c r="H92" s="10"/>
      <c r="I92" s="10"/>
      <c r="J92" s="10"/>
      <c r="K92" s="10"/>
      <c r="L92" s="10"/>
      <c r="M92" s="10"/>
      <c r="N92" s="10"/>
      <c r="O92" s="10"/>
      <c r="P92" s="10"/>
      <c r="Q92" s="8"/>
      <c r="R92" s="10"/>
    </row>
    <row r="93" spans="1:18">
      <c r="A93" s="8"/>
      <c r="B93" s="10"/>
      <c r="C93" s="10"/>
      <c r="D93" s="5"/>
      <c r="E93" s="6"/>
      <c r="F93" s="7"/>
      <c r="G93" s="7"/>
      <c r="H93" s="10"/>
      <c r="I93" s="10"/>
      <c r="J93" s="10"/>
      <c r="K93" s="10"/>
      <c r="L93" s="10"/>
      <c r="M93" s="10"/>
      <c r="N93" s="10"/>
      <c r="O93" s="10"/>
      <c r="P93" s="10"/>
      <c r="Q93" s="8"/>
      <c r="R93" s="10"/>
    </row>
    <row r="94" spans="1:18">
      <c r="A94" s="8"/>
      <c r="B94" s="10"/>
      <c r="C94" s="10"/>
      <c r="D94" s="5"/>
      <c r="E94" s="6"/>
      <c r="F94" s="7"/>
      <c r="G94" s="7"/>
      <c r="H94" s="10"/>
      <c r="I94" s="10"/>
      <c r="J94" s="10"/>
      <c r="K94" s="10"/>
      <c r="L94" s="10"/>
      <c r="M94" s="10"/>
      <c r="N94" s="10"/>
      <c r="O94" s="10"/>
      <c r="P94" s="10"/>
      <c r="Q94" s="8"/>
      <c r="R94" s="10"/>
    </row>
    <row r="95" spans="1:18">
      <c r="A95" s="8"/>
      <c r="B95" s="10"/>
      <c r="C95" s="10"/>
      <c r="D95" s="5"/>
      <c r="E95" s="6"/>
      <c r="F95" s="7"/>
      <c r="G95" s="7"/>
      <c r="H95" s="10"/>
      <c r="I95" s="10"/>
      <c r="J95" s="10"/>
      <c r="K95" s="10"/>
      <c r="L95" s="10"/>
      <c r="M95" s="10"/>
      <c r="N95" s="10"/>
      <c r="O95" s="10"/>
      <c r="P95" s="10"/>
      <c r="Q95" s="8"/>
      <c r="R95" s="10"/>
    </row>
    <row r="96" spans="1:18">
      <c r="A96" s="8"/>
      <c r="B96" s="10"/>
      <c r="C96" s="10"/>
      <c r="D96" s="5"/>
      <c r="E96" s="6"/>
      <c r="F96" s="7"/>
      <c r="G96" s="7"/>
      <c r="H96" s="10"/>
      <c r="I96" s="10"/>
      <c r="J96" s="10"/>
      <c r="K96" s="10"/>
      <c r="L96" s="10"/>
      <c r="M96" s="10"/>
      <c r="N96" s="10"/>
      <c r="O96" s="10"/>
      <c r="P96" s="10"/>
      <c r="Q96" s="8"/>
      <c r="R96" s="10"/>
    </row>
    <row r="97" spans="1:18">
      <c r="A97" s="8"/>
      <c r="B97" s="10"/>
      <c r="C97" s="10"/>
      <c r="D97" s="5"/>
      <c r="E97" s="6"/>
      <c r="F97" s="7"/>
      <c r="G97" s="7"/>
      <c r="H97" s="10"/>
      <c r="I97" s="10"/>
      <c r="J97" s="10"/>
      <c r="K97" s="10"/>
      <c r="L97" s="10"/>
      <c r="M97" s="10"/>
      <c r="N97" s="10"/>
      <c r="O97" s="10"/>
      <c r="P97" s="10"/>
      <c r="Q97" s="8"/>
      <c r="R97" s="10"/>
    </row>
    <row r="98" spans="1:18">
      <c r="A98" s="8"/>
      <c r="B98" s="10"/>
      <c r="C98" s="10"/>
      <c r="D98" s="5"/>
      <c r="E98" s="6"/>
      <c r="F98" s="7"/>
      <c r="G98" s="7"/>
      <c r="H98" s="10"/>
      <c r="I98" s="10"/>
      <c r="J98" s="10"/>
      <c r="K98" s="10"/>
      <c r="L98" s="10"/>
      <c r="M98" s="10"/>
      <c r="N98" s="10"/>
      <c r="O98" s="10"/>
      <c r="P98" s="10"/>
      <c r="Q98" s="8"/>
      <c r="R98" s="10"/>
    </row>
    <row r="99" spans="1:18">
      <c r="A99" s="8"/>
      <c r="B99" s="10"/>
      <c r="C99" s="10"/>
      <c r="D99" s="5"/>
      <c r="E99" s="6"/>
      <c r="F99" s="7"/>
      <c r="G99" s="7"/>
      <c r="H99" s="10"/>
      <c r="I99" s="10"/>
      <c r="J99" s="10"/>
      <c r="K99" s="10"/>
      <c r="L99" s="10"/>
      <c r="M99" s="10"/>
      <c r="N99" s="10"/>
      <c r="O99" s="10"/>
      <c r="P99" s="10"/>
      <c r="Q99" s="8"/>
      <c r="R99" s="10"/>
    </row>
    <row r="100" spans="1:18">
      <c r="A100" s="8"/>
      <c r="B100" s="10"/>
      <c r="C100" s="10"/>
      <c r="D100" s="5"/>
      <c r="E100" s="6"/>
      <c r="F100" s="7"/>
      <c r="G100" s="7"/>
      <c r="H100" s="10"/>
      <c r="I100" s="10"/>
      <c r="J100" s="10"/>
      <c r="K100" s="10"/>
      <c r="L100" s="10"/>
      <c r="M100" s="10"/>
      <c r="N100" s="10"/>
      <c r="O100" s="10"/>
      <c r="P100" s="10"/>
      <c r="Q100" s="8"/>
      <c r="R100" s="10"/>
    </row>
    <row r="101" spans="1:18">
      <c r="A101" s="8"/>
      <c r="B101" s="10"/>
      <c r="C101" s="10"/>
      <c r="D101" s="5"/>
      <c r="E101" s="6"/>
      <c r="F101" s="7"/>
      <c r="G101" s="7"/>
      <c r="H101" s="10"/>
      <c r="I101" s="10"/>
      <c r="J101" s="10"/>
      <c r="K101" s="10"/>
      <c r="L101" s="10"/>
      <c r="M101" s="10"/>
      <c r="N101" s="10"/>
      <c r="O101" s="10"/>
      <c r="P101" s="10"/>
      <c r="Q101" s="8"/>
      <c r="R101" s="10"/>
    </row>
    <row r="102" spans="1:18">
      <c r="A102" s="8"/>
      <c r="B102" s="10"/>
      <c r="C102" s="10"/>
      <c r="D102" s="5"/>
      <c r="E102" s="6"/>
      <c r="F102" s="7"/>
      <c r="G102" s="7"/>
      <c r="H102" s="10"/>
      <c r="I102" s="10"/>
      <c r="J102" s="10"/>
      <c r="K102" s="10"/>
      <c r="L102" s="10"/>
      <c r="M102" s="10"/>
      <c r="N102" s="10"/>
      <c r="O102" s="10"/>
      <c r="P102" s="10"/>
      <c r="Q102" s="8"/>
      <c r="R102" s="10"/>
    </row>
    <row r="103" spans="1:18">
      <c r="A103" s="8"/>
      <c r="B103" s="10"/>
      <c r="C103" s="10"/>
      <c r="D103" s="5"/>
      <c r="E103" s="6"/>
      <c r="F103" s="7"/>
      <c r="G103" s="7"/>
      <c r="H103" s="10"/>
      <c r="I103" s="10"/>
      <c r="J103" s="10"/>
      <c r="K103" s="10"/>
      <c r="L103" s="10"/>
      <c r="M103" s="10"/>
      <c r="N103" s="10"/>
      <c r="O103" s="10"/>
      <c r="P103" s="10"/>
      <c r="Q103" s="8"/>
      <c r="R103" s="10"/>
    </row>
    <row r="104" spans="1:18">
      <c r="A104" s="8"/>
      <c r="B104" s="10"/>
      <c r="C104" s="10"/>
      <c r="D104" s="5"/>
      <c r="E104" s="6"/>
      <c r="F104" s="7"/>
      <c r="G104" s="7"/>
      <c r="H104" s="10"/>
      <c r="I104" s="10"/>
      <c r="J104" s="10"/>
      <c r="K104" s="10"/>
      <c r="L104" s="10"/>
      <c r="M104" s="10"/>
      <c r="N104" s="10"/>
      <c r="O104" s="10"/>
      <c r="P104" s="10"/>
      <c r="Q104" s="8"/>
      <c r="R104" s="10"/>
    </row>
    <row r="105" spans="1:18">
      <c r="A105" s="8"/>
      <c r="B105" s="10"/>
      <c r="C105" s="10"/>
      <c r="D105" s="5"/>
      <c r="E105" s="6"/>
      <c r="F105" s="7"/>
      <c r="G105" s="7"/>
      <c r="H105" s="10"/>
      <c r="I105" s="10"/>
      <c r="J105" s="10"/>
      <c r="K105" s="10"/>
      <c r="L105" s="10"/>
      <c r="M105" s="10"/>
      <c r="N105" s="10"/>
      <c r="O105" s="10"/>
      <c r="P105" s="10"/>
      <c r="Q105" s="8"/>
      <c r="R105" s="10"/>
    </row>
    <row r="106" spans="1:18">
      <c r="A106" s="8"/>
      <c r="B106" s="10"/>
      <c r="C106" s="10"/>
      <c r="D106" s="5"/>
      <c r="E106" s="6"/>
      <c r="F106" s="7"/>
      <c r="G106" s="7"/>
      <c r="H106" s="10"/>
      <c r="I106" s="10"/>
      <c r="J106" s="10"/>
      <c r="K106" s="10"/>
      <c r="L106" s="10"/>
      <c r="M106" s="10"/>
      <c r="N106" s="10"/>
      <c r="O106" s="10"/>
      <c r="P106" s="10"/>
      <c r="Q106" s="8"/>
      <c r="R106" s="10"/>
    </row>
    <row r="107" spans="1:18">
      <c r="A107" s="8"/>
      <c r="B107" s="10"/>
      <c r="C107" s="10"/>
      <c r="D107" s="5"/>
      <c r="E107" s="6"/>
      <c r="F107" s="7"/>
      <c r="G107" s="7"/>
      <c r="H107" s="10"/>
      <c r="I107" s="10"/>
      <c r="J107" s="10"/>
      <c r="K107" s="10"/>
      <c r="L107" s="10"/>
      <c r="M107" s="10"/>
      <c r="N107" s="10"/>
      <c r="O107" s="10"/>
      <c r="P107" s="10"/>
      <c r="Q107" s="8"/>
      <c r="R107" s="10"/>
    </row>
    <row r="108" spans="1:18">
      <c r="A108" s="8"/>
      <c r="B108" s="10"/>
      <c r="C108" s="10"/>
      <c r="D108" s="5"/>
      <c r="E108" s="6"/>
      <c r="F108" s="7"/>
      <c r="G108" s="7"/>
      <c r="H108" s="10"/>
      <c r="I108" s="10"/>
      <c r="J108" s="10"/>
      <c r="K108" s="10"/>
      <c r="L108" s="10"/>
      <c r="M108" s="10"/>
      <c r="N108" s="10"/>
      <c r="O108" s="10"/>
      <c r="P108" s="10"/>
      <c r="Q108" s="8"/>
      <c r="R108" s="10"/>
    </row>
    <row r="109" spans="1:18">
      <c r="A109" s="8"/>
      <c r="B109" s="10"/>
      <c r="C109" s="10"/>
      <c r="D109" s="5"/>
      <c r="E109" s="6"/>
      <c r="F109" s="7"/>
      <c r="G109" s="7"/>
      <c r="H109" s="10"/>
      <c r="I109" s="10"/>
      <c r="J109" s="10"/>
      <c r="K109" s="10"/>
      <c r="L109" s="10"/>
      <c r="M109" s="10"/>
      <c r="N109" s="10"/>
      <c r="O109" s="10"/>
      <c r="P109" s="10"/>
      <c r="Q109" s="8"/>
      <c r="R109" s="10"/>
    </row>
    <row r="110" spans="1:18">
      <c r="A110" s="8"/>
      <c r="B110" s="10"/>
      <c r="C110" s="10"/>
      <c r="D110" s="5"/>
      <c r="E110" s="6"/>
      <c r="F110" s="7"/>
      <c r="G110" s="7"/>
      <c r="H110" s="10"/>
      <c r="I110" s="10"/>
      <c r="J110" s="10"/>
      <c r="K110" s="10"/>
      <c r="L110" s="10"/>
      <c r="M110" s="10"/>
      <c r="N110" s="10"/>
      <c r="O110" s="10"/>
      <c r="P110" s="10"/>
      <c r="Q110" s="8"/>
      <c r="R110" s="10"/>
    </row>
    <row r="111" spans="1:18">
      <c r="A111" s="8"/>
      <c r="B111" s="10"/>
      <c r="C111" s="10"/>
      <c r="D111" s="5"/>
      <c r="E111" s="6"/>
      <c r="F111" s="7"/>
      <c r="G111" s="7"/>
      <c r="H111" s="10"/>
      <c r="I111" s="10"/>
      <c r="J111" s="10"/>
      <c r="K111" s="10"/>
      <c r="L111" s="10"/>
      <c r="M111" s="10"/>
      <c r="N111" s="10"/>
      <c r="O111" s="10"/>
      <c r="P111" s="10"/>
      <c r="Q111" s="8"/>
      <c r="R111" s="10"/>
    </row>
    <row r="112" spans="1:18">
      <c r="A112" s="8"/>
      <c r="B112" s="10"/>
      <c r="C112" s="10"/>
      <c r="D112" s="5"/>
      <c r="E112" s="6"/>
      <c r="F112" s="7"/>
      <c r="G112" s="7"/>
      <c r="H112" s="10"/>
      <c r="I112" s="10"/>
      <c r="J112" s="10"/>
      <c r="K112" s="10"/>
      <c r="L112" s="10"/>
      <c r="M112" s="10"/>
      <c r="N112" s="10"/>
      <c r="O112" s="10"/>
      <c r="P112" s="10"/>
      <c r="Q112" s="8"/>
      <c r="R112" s="10"/>
    </row>
    <row r="113" spans="1:18">
      <c r="A113" s="8"/>
      <c r="B113" s="10"/>
      <c r="C113" s="10"/>
      <c r="D113" s="5"/>
      <c r="E113" s="6"/>
      <c r="F113" s="7"/>
      <c r="G113" s="7"/>
      <c r="H113" s="10"/>
      <c r="I113" s="10"/>
      <c r="J113" s="10"/>
      <c r="K113" s="10"/>
      <c r="L113" s="10"/>
      <c r="M113" s="10"/>
      <c r="N113" s="10"/>
      <c r="O113" s="10"/>
      <c r="P113" s="10"/>
      <c r="Q113" s="8"/>
      <c r="R113" s="10"/>
    </row>
    <row r="114" spans="1:18">
      <c r="A114" s="8"/>
      <c r="B114" s="10"/>
      <c r="C114" s="10"/>
      <c r="D114" s="5"/>
      <c r="E114" s="6"/>
      <c r="F114" s="7"/>
      <c r="G114" s="7"/>
      <c r="H114" s="10"/>
      <c r="I114" s="10"/>
      <c r="J114" s="10"/>
      <c r="K114" s="10"/>
      <c r="L114" s="10"/>
      <c r="M114" s="10"/>
      <c r="N114" s="10"/>
      <c r="O114" s="10"/>
      <c r="P114" s="10"/>
      <c r="Q114" s="8"/>
      <c r="R114" s="10"/>
    </row>
    <row r="115" spans="1:18">
      <c r="A115" s="8"/>
      <c r="B115" s="10"/>
      <c r="C115" s="10"/>
      <c r="D115" s="5"/>
      <c r="E115" s="6"/>
      <c r="F115" s="7"/>
      <c r="G115" s="7"/>
      <c r="H115" s="10"/>
      <c r="I115" s="10"/>
      <c r="J115" s="10"/>
      <c r="K115" s="10"/>
      <c r="L115" s="10"/>
      <c r="M115" s="10"/>
      <c r="N115" s="10"/>
      <c r="O115" s="10"/>
      <c r="P115" s="10"/>
      <c r="Q115" s="8"/>
      <c r="R115" s="10"/>
    </row>
    <row r="116" spans="1:18">
      <c r="A116" s="8"/>
      <c r="B116" s="10"/>
      <c r="C116" s="10"/>
      <c r="D116" s="5"/>
      <c r="E116" s="6"/>
      <c r="F116" s="7"/>
      <c r="G116" s="7"/>
      <c r="H116" s="10"/>
      <c r="I116" s="10"/>
      <c r="J116" s="10"/>
      <c r="K116" s="10"/>
      <c r="L116" s="10"/>
      <c r="M116" s="10"/>
      <c r="N116" s="10"/>
      <c r="O116" s="10"/>
      <c r="P116" s="10"/>
      <c r="Q116" s="8"/>
      <c r="R116" s="10"/>
    </row>
    <row r="117" spans="1:18">
      <c r="A117" s="8"/>
      <c r="B117" s="10"/>
      <c r="C117" s="10"/>
      <c r="D117" s="5"/>
      <c r="E117" s="6"/>
      <c r="F117" s="7"/>
      <c r="G117" s="7"/>
      <c r="H117" s="10"/>
      <c r="I117" s="10"/>
      <c r="J117" s="10"/>
      <c r="K117" s="10"/>
      <c r="L117" s="10"/>
      <c r="M117" s="10"/>
      <c r="N117" s="10"/>
      <c r="O117" s="10"/>
      <c r="P117" s="10"/>
      <c r="Q117" s="8"/>
      <c r="R117" s="10"/>
    </row>
    <row r="118" spans="1:18">
      <c r="A118" s="8"/>
      <c r="B118" s="10"/>
      <c r="C118" s="10"/>
      <c r="D118" s="5"/>
      <c r="E118" s="6"/>
      <c r="F118" s="7"/>
      <c r="G118" s="7"/>
      <c r="H118" s="10"/>
      <c r="I118" s="10"/>
      <c r="J118" s="10"/>
      <c r="K118" s="10"/>
      <c r="L118" s="10"/>
      <c r="M118" s="10"/>
      <c r="N118" s="10"/>
      <c r="O118" s="10"/>
      <c r="P118" s="10"/>
      <c r="Q118" s="8"/>
      <c r="R118" s="10"/>
    </row>
    <row r="119" spans="1:18">
      <c r="A119" s="8"/>
      <c r="B119" s="10"/>
      <c r="C119" s="10"/>
      <c r="D119" s="5"/>
      <c r="E119" s="6"/>
      <c r="F119" s="7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8"/>
      <c r="R119" s="10"/>
    </row>
    <row r="120" spans="1:18">
      <c r="A120" s="8"/>
      <c r="B120" s="10"/>
      <c r="C120" s="10"/>
      <c r="D120" s="5"/>
      <c r="E120" s="6"/>
      <c r="F120" s="7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8"/>
      <c r="R120" s="10"/>
    </row>
    <row r="121" spans="1:18">
      <c r="A121" s="8"/>
      <c r="B121" s="10"/>
      <c r="C121" s="10"/>
      <c r="D121" s="5"/>
      <c r="E121" s="6"/>
      <c r="F121" s="7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8"/>
      <c r="R121" s="10"/>
    </row>
    <row r="122" spans="1:18">
      <c r="A122" s="8"/>
      <c r="B122" s="10"/>
      <c r="C122" s="10"/>
      <c r="D122" s="5"/>
      <c r="E122" s="6"/>
      <c r="F122" s="7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8"/>
      <c r="R122" s="10"/>
    </row>
    <row r="123" spans="1:18">
      <c r="A123" s="8"/>
      <c r="B123" s="10"/>
      <c r="C123" s="10"/>
      <c r="D123" s="5"/>
      <c r="E123" s="6"/>
      <c r="F123" s="7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8"/>
      <c r="R123" s="10"/>
    </row>
    <row r="124" spans="1:18">
      <c r="A124" s="8"/>
      <c r="B124" s="10"/>
      <c r="C124" s="10"/>
      <c r="D124" s="5"/>
      <c r="E124" s="6"/>
      <c r="F124" s="7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8"/>
      <c r="R124" s="10"/>
    </row>
    <row r="125" spans="1:18">
      <c r="A125" s="8"/>
      <c r="B125" s="10"/>
      <c r="C125" s="10"/>
      <c r="D125" s="5"/>
      <c r="E125" s="6"/>
      <c r="F125" s="7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8"/>
      <c r="R125" s="10"/>
    </row>
    <row r="126" spans="1:18">
      <c r="A126" s="8"/>
      <c r="B126" s="10"/>
      <c r="C126" s="10"/>
      <c r="D126" s="5"/>
      <c r="E126" s="6"/>
      <c r="F126" s="7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8"/>
      <c r="R126" s="10"/>
    </row>
    <row r="127" spans="1:18">
      <c r="A127" s="8"/>
      <c r="B127" s="10"/>
      <c r="C127" s="10"/>
      <c r="D127" s="5"/>
      <c r="E127" s="6"/>
      <c r="F127" s="7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8"/>
      <c r="R127" s="10"/>
    </row>
    <row r="128" spans="1:18">
      <c r="A128" s="8"/>
      <c r="B128" s="10"/>
      <c r="C128" s="10"/>
      <c r="D128" s="5"/>
      <c r="E128" s="6"/>
      <c r="F128" s="7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8"/>
      <c r="R128" s="10"/>
    </row>
    <row r="129" spans="1:18">
      <c r="A129" s="8"/>
      <c r="B129" s="10"/>
      <c r="C129" s="10"/>
      <c r="D129" s="5"/>
      <c r="E129" s="6"/>
      <c r="F129" s="7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8"/>
      <c r="R129" s="10"/>
    </row>
    <row r="130" spans="1:18">
      <c r="A130" s="8"/>
      <c r="B130" s="10"/>
      <c r="C130" s="10"/>
      <c r="D130" s="5"/>
      <c r="E130" s="6"/>
      <c r="F130" s="7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8"/>
      <c r="R130" s="10"/>
    </row>
    <row r="131" spans="1:18">
      <c r="A131" s="8"/>
      <c r="B131" s="10"/>
      <c r="C131" s="10"/>
      <c r="D131" s="5"/>
      <c r="E131" s="6"/>
      <c r="F131" s="7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8"/>
      <c r="R131" s="10"/>
    </row>
    <row r="132" spans="1:18">
      <c r="A132" s="8"/>
      <c r="B132" s="10"/>
      <c r="C132" s="10"/>
      <c r="D132" s="5"/>
      <c r="E132" s="6"/>
      <c r="F132" s="7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8"/>
      <c r="R132" s="10"/>
    </row>
    <row r="133" spans="1:18">
      <c r="A133" s="8"/>
      <c r="B133" s="10"/>
      <c r="C133" s="10"/>
      <c r="D133" s="5"/>
      <c r="E133" s="6"/>
      <c r="F133" s="7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8"/>
      <c r="R133" s="10"/>
    </row>
    <row r="134" spans="1:18">
      <c r="A134" s="8"/>
      <c r="B134" s="10"/>
      <c r="C134" s="10"/>
      <c r="D134" s="5"/>
      <c r="E134" s="6"/>
      <c r="F134" s="7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8"/>
      <c r="R134" s="10"/>
    </row>
    <row r="135" spans="1:18">
      <c r="A135" s="8"/>
      <c r="B135" s="10"/>
      <c r="C135" s="10"/>
      <c r="D135" s="5"/>
      <c r="E135" s="6"/>
      <c r="F135" s="7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8"/>
      <c r="R135" s="10"/>
    </row>
    <row r="136" spans="1:18">
      <c r="A136" s="8"/>
      <c r="B136" s="10"/>
      <c r="C136" s="10"/>
      <c r="D136" s="5"/>
      <c r="E136" s="6"/>
      <c r="F136" s="7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8"/>
      <c r="R136" s="10"/>
    </row>
    <row r="137" spans="1:18">
      <c r="A137" s="8"/>
      <c r="B137" s="10"/>
      <c r="C137" s="10"/>
      <c r="D137" s="5"/>
      <c r="E137" s="6"/>
      <c r="F137" s="7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8"/>
      <c r="R137" s="10"/>
    </row>
    <row r="138" spans="1:18">
      <c r="A138" s="8"/>
      <c r="B138" s="10"/>
      <c r="C138" s="10"/>
      <c r="D138" s="5"/>
      <c r="E138" s="6"/>
      <c r="F138" s="7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8"/>
      <c r="R138" s="10"/>
    </row>
    <row r="139" spans="1:18">
      <c r="A139" s="8"/>
      <c r="B139" s="10"/>
      <c r="C139" s="10"/>
      <c r="D139" s="5"/>
      <c r="E139" s="6"/>
      <c r="F139" s="7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8"/>
      <c r="R139" s="10"/>
    </row>
    <row r="140" spans="1:18">
      <c r="A140" s="8"/>
      <c r="B140" s="10"/>
      <c r="C140" s="10"/>
      <c r="D140" s="5"/>
      <c r="E140" s="6"/>
      <c r="F140" s="7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8"/>
      <c r="R140" s="10"/>
    </row>
    <row r="141" spans="1:18">
      <c r="A141" s="8"/>
      <c r="B141" s="10"/>
      <c r="C141" s="10"/>
      <c r="D141" s="5"/>
      <c r="E141" s="6"/>
      <c r="F141" s="7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8"/>
      <c r="R141" s="10"/>
    </row>
    <row r="142" spans="1:18">
      <c r="A142" s="8"/>
      <c r="B142" s="10"/>
      <c r="C142" s="10"/>
      <c r="D142" s="5"/>
      <c r="E142" s="6"/>
      <c r="F142" s="7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8"/>
      <c r="R142" s="10"/>
    </row>
    <row r="143" spans="1:18">
      <c r="A143" s="8"/>
      <c r="B143" s="10"/>
      <c r="C143" s="10"/>
      <c r="D143" s="5"/>
      <c r="E143" s="6"/>
      <c r="F143" s="7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8"/>
      <c r="R143" s="10"/>
    </row>
    <row r="144" spans="1:18">
      <c r="A144" s="8"/>
      <c r="B144" s="10"/>
      <c r="C144" s="10"/>
      <c r="D144" s="5"/>
      <c r="E144" s="6"/>
      <c r="F144" s="7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8"/>
      <c r="R144" s="10"/>
    </row>
    <row r="145" spans="1:18">
      <c r="A145" s="8"/>
      <c r="B145" s="10"/>
      <c r="C145" s="10"/>
      <c r="D145" s="5"/>
      <c r="E145" s="6"/>
      <c r="F145" s="7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8"/>
      <c r="R145" s="10"/>
    </row>
    <row r="146" spans="1:18">
      <c r="A146" s="8"/>
      <c r="B146" s="10"/>
      <c r="C146" s="10"/>
      <c r="D146" s="5"/>
      <c r="E146" s="6"/>
      <c r="F146" s="7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8"/>
      <c r="R146" s="10"/>
    </row>
    <row r="147" spans="1:18">
      <c r="A147" s="8"/>
      <c r="B147" s="10"/>
      <c r="C147" s="10"/>
      <c r="D147" s="5"/>
      <c r="E147" s="6"/>
      <c r="F147" s="7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8"/>
      <c r="R147" s="10"/>
    </row>
    <row r="148" spans="1:18">
      <c r="A148" s="8"/>
      <c r="B148" s="10"/>
      <c r="C148" s="10"/>
      <c r="D148" s="5"/>
      <c r="E148" s="6"/>
      <c r="F148" s="7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8"/>
      <c r="R148" s="10"/>
    </row>
    <row r="149" spans="1:18">
      <c r="A149" s="8"/>
      <c r="B149" s="10"/>
      <c r="C149" s="10"/>
      <c r="D149" s="5"/>
      <c r="E149" s="6"/>
      <c r="F149" s="7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8"/>
      <c r="R149" s="10"/>
    </row>
    <row r="150" spans="1:18">
      <c r="A150" s="8"/>
      <c r="B150" s="10"/>
      <c r="C150" s="10"/>
      <c r="D150" s="5"/>
      <c r="E150" s="6"/>
      <c r="F150" s="7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8"/>
      <c r="R150" s="10"/>
    </row>
    <row r="151" spans="1:18">
      <c r="A151" s="8"/>
      <c r="B151" s="10"/>
      <c r="C151" s="10"/>
      <c r="D151" s="5"/>
      <c r="E151" s="6"/>
      <c r="F151" s="7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8"/>
      <c r="R151" s="10"/>
    </row>
    <row r="152" spans="1:18">
      <c r="A152" s="8"/>
      <c r="B152" s="10"/>
      <c r="C152" s="10"/>
      <c r="D152" s="5"/>
      <c r="E152" s="6"/>
      <c r="F152" s="7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8"/>
      <c r="R152" s="10"/>
    </row>
    <row r="153" spans="1:18">
      <c r="A153" s="8"/>
      <c r="B153" s="10"/>
      <c r="C153" s="10"/>
      <c r="D153" s="5"/>
      <c r="E153" s="6"/>
      <c r="F153" s="7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8"/>
      <c r="R153" s="10"/>
    </row>
    <row r="154" spans="1:18">
      <c r="A154" s="8"/>
      <c r="B154" s="10"/>
      <c r="C154" s="10"/>
      <c r="D154" s="5"/>
      <c r="E154" s="6"/>
      <c r="F154" s="7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8"/>
      <c r="R154" s="10"/>
    </row>
    <row r="155" spans="1:18">
      <c r="A155" s="8"/>
      <c r="B155" s="10"/>
      <c r="C155" s="10"/>
      <c r="D155" s="5"/>
      <c r="E155" s="6"/>
      <c r="F155" s="7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8"/>
      <c r="R155" s="10"/>
    </row>
    <row r="156" spans="1:18">
      <c r="A156" s="8"/>
      <c r="B156" s="10"/>
      <c r="C156" s="10"/>
      <c r="D156" s="5"/>
      <c r="E156" s="6"/>
      <c r="F156" s="7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8"/>
      <c r="R156" s="10"/>
    </row>
    <row r="157" spans="1:18">
      <c r="A157" s="8"/>
      <c r="B157" s="10"/>
      <c r="C157" s="10"/>
      <c r="D157" s="5"/>
      <c r="E157" s="6"/>
      <c r="F157" s="7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8"/>
      <c r="R157" s="10"/>
    </row>
    <row r="158" spans="1:18">
      <c r="A158" s="8"/>
      <c r="B158" s="10"/>
      <c r="C158" s="10"/>
      <c r="D158" s="5"/>
      <c r="E158" s="6"/>
      <c r="F158" s="7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8"/>
      <c r="R158" s="10"/>
    </row>
    <row r="159" spans="1:18">
      <c r="A159" s="8"/>
      <c r="B159" s="10"/>
      <c r="C159" s="10"/>
      <c r="D159" s="5"/>
      <c r="E159" s="6"/>
      <c r="F159" s="7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8"/>
      <c r="R159" s="10"/>
    </row>
    <row r="160" spans="1:18">
      <c r="A160" s="8"/>
      <c r="B160" s="10"/>
      <c r="C160" s="10"/>
      <c r="D160" s="5"/>
      <c r="E160" s="6"/>
      <c r="F160" s="7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8"/>
      <c r="R160" s="10"/>
    </row>
    <row r="161" spans="1:18">
      <c r="A161" s="8"/>
      <c r="B161" s="10"/>
      <c r="C161" s="10"/>
      <c r="D161" s="5"/>
      <c r="E161" s="6"/>
      <c r="F161" s="7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8"/>
      <c r="R161" s="10"/>
    </row>
    <row r="162" spans="1:18">
      <c r="A162" s="8"/>
      <c r="B162" s="10"/>
      <c r="C162" s="10"/>
      <c r="D162" s="5"/>
      <c r="E162" s="6"/>
      <c r="F162" s="7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8"/>
      <c r="R162" s="10"/>
    </row>
    <row r="163" spans="1:18">
      <c r="A163" s="8"/>
      <c r="B163" s="10"/>
      <c r="C163" s="10"/>
      <c r="D163" s="5"/>
      <c r="E163" s="6"/>
      <c r="F163" s="7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8"/>
      <c r="R163" s="10"/>
    </row>
    <row r="164" spans="1:18">
      <c r="A164" s="8"/>
      <c r="B164" s="10"/>
      <c r="C164" s="10"/>
      <c r="D164" s="5"/>
      <c r="E164" s="6"/>
      <c r="F164" s="7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8"/>
      <c r="R164" s="10"/>
    </row>
    <row r="165" spans="1:18">
      <c r="A165" s="8"/>
      <c r="B165" s="10"/>
      <c r="C165" s="10"/>
      <c r="D165" s="5"/>
      <c r="E165" s="6"/>
      <c r="F165" s="7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8"/>
      <c r="R165" s="10"/>
    </row>
    <row r="166" spans="1:18">
      <c r="A166" s="8"/>
      <c r="B166" s="10"/>
      <c r="C166" s="10"/>
      <c r="D166" s="5"/>
      <c r="E166" s="6"/>
      <c r="F166" s="7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8"/>
      <c r="R166" s="10"/>
    </row>
    <row r="167" spans="1:18">
      <c r="A167" s="8"/>
      <c r="B167" s="10"/>
      <c r="C167" s="10"/>
      <c r="D167" s="5"/>
      <c r="E167" s="6"/>
      <c r="F167" s="7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8"/>
      <c r="R167" s="10"/>
    </row>
    <row r="168" spans="1:18">
      <c r="A168" s="8"/>
      <c r="B168" s="10"/>
      <c r="C168" s="10"/>
      <c r="D168" s="5"/>
      <c r="E168" s="6"/>
      <c r="F168" s="7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8"/>
      <c r="R168" s="10"/>
    </row>
    <row r="169" spans="1:18">
      <c r="A169" s="8"/>
      <c r="B169" s="10"/>
      <c r="C169" s="10"/>
      <c r="D169" s="5"/>
      <c r="E169" s="6"/>
      <c r="F169" s="7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8"/>
      <c r="R169" s="10"/>
    </row>
    <row r="170" spans="1:18">
      <c r="A170" s="8"/>
      <c r="B170" s="10"/>
      <c r="C170" s="10"/>
      <c r="D170" s="5"/>
      <c r="E170" s="6"/>
      <c r="F170" s="7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8"/>
      <c r="R170" s="10"/>
    </row>
    <row r="171" spans="1:18">
      <c r="A171" s="8"/>
      <c r="B171" s="10"/>
      <c r="C171" s="10"/>
      <c r="D171" s="5"/>
      <c r="E171" s="6"/>
      <c r="F171" s="7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8"/>
      <c r="R171" s="10"/>
    </row>
    <row r="172" spans="1:18">
      <c r="A172" s="8"/>
      <c r="B172" s="10"/>
      <c r="C172" s="10"/>
      <c r="D172" s="5"/>
      <c r="E172" s="6"/>
      <c r="F172" s="7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8"/>
      <c r="R172" s="10"/>
    </row>
    <row r="173" spans="1:18">
      <c r="A173" s="8"/>
      <c r="B173" s="10"/>
      <c r="C173" s="10"/>
      <c r="D173" s="5"/>
      <c r="E173" s="6"/>
      <c r="F173" s="7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8"/>
      <c r="R173" s="10"/>
    </row>
    <row r="174" spans="1:18">
      <c r="A174" s="8"/>
      <c r="B174" s="10"/>
      <c r="C174" s="10"/>
      <c r="D174" s="5"/>
      <c r="E174" s="6"/>
      <c r="F174" s="7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8"/>
      <c r="R174" s="10"/>
    </row>
    <row r="175" spans="1:18">
      <c r="A175" s="8"/>
      <c r="B175" s="10"/>
      <c r="C175" s="10"/>
      <c r="D175" s="5"/>
      <c r="E175" s="6"/>
      <c r="F175" s="7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8"/>
      <c r="R175" s="10"/>
    </row>
    <row r="176" spans="1:18">
      <c r="A176" s="8"/>
      <c r="B176" s="10"/>
      <c r="C176" s="10"/>
      <c r="D176" s="5"/>
      <c r="E176" s="6"/>
      <c r="F176" s="7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8"/>
      <c r="R176" s="10"/>
    </row>
    <row r="177" spans="1:18">
      <c r="A177" s="8"/>
      <c r="B177" s="10"/>
      <c r="C177" s="10"/>
      <c r="D177" s="5"/>
      <c r="E177" s="6"/>
      <c r="F177" s="7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8"/>
      <c r="R177" s="10"/>
    </row>
    <row r="178" spans="1:18">
      <c r="A178" s="8"/>
      <c r="B178" s="10"/>
      <c r="C178" s="10"/>
      <c r="D178" s="5"/>
      <c r="E178" s="6"/>
      <c r="F178" s="7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8"/>
      <c r="R178" s="10"/>
    </row>
    <row r="179" spans="1:18">
      <c r="A179" s="8"/>
      <c r="B179" s="10"/>
      <c r="C179" s="10"/>
      <c r="D179" s="5"/>
      <c r="E179" s="6"/>
      <c r="F179" s="7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8"/>
      <c r="R179" s="10"/>
    </row>
    <row r="180" spans="1:18">
      <c r="A180" s="8"/>
      <c r="B180" s="10"/>
      <c r="C180" s="10"/>
      <c r="D180" s="5"/>
      <c r="E180" s="6"/>
      <c r="F180" s="7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8"/>
      <c r="R180" s="10"/>
    </row>
    <row r="181" spans="1:18">
      <c r="A181" s="8"/>
      <c r="B181" s="10"/>
      <c r="C181" s="10"/>
      <c r="D181" s="5"/>
      <c r="E181" s="6"/>
      <c r="F181" s="7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8"/>
      <c r="R181" s="10"/>
    </row>
    <row r="182" spans="1:18">
      <c r="A182" s="8"/>
      <c r="B182" s="10"/>
      <c r="C182" s="10"/>
      <c r="D182" s="5"/>
      <c r="E182" s="6"/>
      <c r="F182" s="7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8"/>
      <c r="R182" s="10"/>
    </row>
    <row r="183" spans="1:18">
      <c r="A183" s="8"/>
      <c r="B183" s="10"/>
      <c r="C183" s="10"/>
      <c r="D183" s="5"/>
      <c r="E183" s="6"/>
      <c r="F183" s="7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8"/>
      <c r="R183" s="10"/>
    </row>
    <row r="184" spans="1:18">
      <c r="A184" s="8"/>
      <c r="B184" s="10"/>
      <c r="C184" s="10"/>
      <c r="D184" s="5"/>
      <c r="E184" s="6"/>
      <c r="F184" s="7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8"/>
      <c r="R184" s="10"/>
    </row>
    <row r="185" spans="1:18">
      <c r="A185" s="8"/>
      <c r="B185" s="10"/>
      <c r="C185" s="10"/>
      <c r="D185" s="5"/>
      <c r="E185" s="6"/>
      <c r="F185" s="7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8"/>
      <c r="R185" s="10"/>
    </row>
    <row r="186" spans="1:18">
      <c r="A186" s="8"/>
      <c r="B186" s="10"/>
      <c r="C186" s="10"/>
      <c r="D186" s="5"/>
      <c r="E186" s="6"/>
      <c r="F186" s="7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8"/>
      <c r="R186" s="10"/>
    </row>
    <row r="187" spans="1:18">
      <c r="A187" s="8"/>
      <c r="B187" s="10"/>
      <c r="C187" s="10"/>
      <c r="D187" s="5"/>
      <c r="E187" s="6"/>
      <c r="F187" s="7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8"/>
      <c r="R187" s="10"/>
    </row>
    <row r="188" spans="1:18">
      <c r="A188" s="8"/>
      <c r="B188" s="10"/>
      <c r="C188" s="10"/>
      <c r="D188" s="5"/>
      <c r="E188" s="6"/>
      <c r="F188" s="7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8"/>
      <c r="R188" s="10"/>
    </row>
    <row r="189" spans="1:18">
      <c r="A189" s="8"/>
      <c r="B189" s="10"/>
      <c r="C189" s="10"/>
      <c r="D189" s="5"/>
      <c r="E189" s="6"/>
      <c r="F189" s="7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8"/>
      <c r="R189" s="10"/>
    </row>
    <row r="190" spans="1:18">
      <c r="A190" s="8"/>
      <c r="B190" s="10"/>
      <c r="C190" s="10"/>
      <c r="D190" s="5"/>
      <c r="E190" s="6"/>
      <c r="F190" s="7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8"/>
      <c r="R190" s="10"/>
    </row>
    <row r="191" spans="1:18">
      <c r="A191" s="8"/>
      <c r="B191" s="10"/>
      <c r="C191" s="10"/>
      <c r="D191" s="5"/>
      <c r="E191" s="6"/>
      <c r="F191" s="7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8"/>
      <c r="R191" s="10"/>
    </row>
    <row r="192" spans="1:18">
      <c r="A192" s="8"/>
      <c r="B192" s="10"/>
      <c r="C192" s="10"/>
      <c r="D192" s="5"/>
      <c r="E192" s="6"/>
      <c r="F192" s="7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8"/>
      <c r="R192" s="10"/>
    </row>
    <row r="193" spans="1:18">
      <c r="A193" s="8"/>
      <c r="B193" s="10"/>
      <c r="C193" s="10"/>
      <c r="D193" s="5"/>
      <c r="E193" s="6"/>
      <c r="F193" s="7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8"/>
      <c r="R193" s="10"/>
    </row>
    <row r="194" spans="1:18">
      <c r="A194" s="8"/>
      <c r="B194" s="10"/>
      <c r="C194" s="10"/>
      <c r="D194" s="5"/>
      <c r="E194" s="6"/>
      <c r="F194" s="7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8"/>
      <c r="R194" s="10"/>
    </row>
    <row r="195" spans="1:18">
      <c r="A195" s="8"/>
      <c r="B195" s="10"/>
      <c r="C195" s="10"/>
      <c r="D195" s="5"/>
      <c r="E195" s="6"/>
      <c r="F195" s="7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8"/>
      <c r="R195" s="10"/>
    </row>
    <row r="196" spans="1:18">
      <c r="A196" s="8"/>
      <c r="B196" s="10"/>
      <c r="C196" s="10"/>
      <c r="D196" s="5"/>
      <c r="E196" s="6"/>
      <c r="F196" s="7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8"/>
      <c r="R196" s="10"/>
    </row>
    <row r="197" spans="1:18">
      <c r="A197" s="8"/>
      <c r="B197" s="10"/>
      <c r="C197" s="10"/>
      <c r="D197" s="5"/>
      <c r="E197" s="6"/>
      <c r="F197" s="7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8"/>
      <c r="R197" s="10"/>
    </row>
    <row r="198" spans="1:18">
      <c r="A198" s="8"/>
      <c r="B198" s="10"/>
      <c r="C198" s="10"/>
      <c r="D198" s="5"/>
      <c r="E198" s="6"/>
      <c r="F198" s="7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8"/>
      <c r="R198" s="10"/>
    </row>
    <row r="199" spans="1:18">
      <c r="A199" s="8"/>
      <c r="B199" s="10"/>
      <c r="C199" s="10"/>
      <c r="D199" s="5"/>
      <c r="E199" s="6"/>
      <c r="F199" s="7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8"/>
      <c r="R199" s="10"/>
    </row>
    <row r="200" spans="1:18">
      <c r="A200" s="8"/>
      <c r="B200" s="10"/>
      <c r="C200" s="10"/>
      <c r="D200" s="5"/>
      <c r="E200" s="6"/>
      <c r="F200" s="7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8"/>
      <c r="R200" s="10"/>
    </row>
    <row r="201" spans="1:18">
      <c r="A201" s="8"/>
      <c r="B201" s="10"/>
      <c r="C201" s="10"/>
      <c r="D201" s="5"/>
      <c r="E201" s="6"/>
      <c r="F201" s="7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8"/>
      <c r="R201" s="10"/>
    </row>
    <row r="202" spans="1:18">
      <c r="A202" s="8"/>
      <c r="B202" s="10"/>
      <c r="C202" s="10"/>
      <c r="D202" s="5"/>
      <c r="E202" s="6"/>
      <c r="F202" s="7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8"/>
      <c r="R202" s="10"/>
    </row>
    <row r="203" spans="1:18">
      <c r="A203" s="8"/>
      <c r="B203" s="10"/>
      <c r="C203" s="10"/>
      <c r="D203" s="5"/>
      <c r="E203" s="6"/>
      <c r="F203" s="7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8"/>
      <c r="R203" s="10"/>
    </row>
    <row r="204" spans="1:18">
      <c r="A204" s="8"/>
      <c r="B204" s="10"/>
      <c r="C204" s="10"/>
      <c r="D204" s="5"/>
      <c r="E204" s="6"/>
      <c r="F204" s="7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8"/>
      <c r="R204" s="10"/>
    </row>
    <row r="205" spans="1:18">
      <c r="A205" s="8"/>
      <c r="B205" s="10"/>
      <c r="C205" s="10"/>
      <c r="D205" s="5"/>
      <c r="E205" s="6"/>
      <c r="F205" s="7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8"/>
      <c r="R205" s="10"/>
    </row>
    <row r="206" spans="1:18">
      <c r="A206" s="8"/>
      <c r="B206" s="10"/>
      <c r="C206" s="10"/>
      <c r="D206" s="5"/>
      <c r="E206" s="6"/>
      <c r="F206" s="7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8"/>
      <c r="R206" s="10"/>
    </row>
    <row r="207" spans="1:18">
      <c r="A207" s="8"/>
      <c r="B207" s="10"/>
      <c r="C207" s="10"/>
      <c r="D207" s="5"/>
      <c r="E207" s="6"/>
      <c r="F207" s="7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8"/>
      <c r="R207" s="10"/>
    </row>
    <row r="208" spans="1:18">
      <c r="A208" s="8"/>
      <c r="B208" s="10"/>
      <c r="C208" s="10"/>
      <c r="D208" s="5"/>
      <c r="E208" s="6"/>
      <c r="F208" s="7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8"/>
      <c r="R208" s="10"/>
    </row>
    <row r="209" spans="1:18">
      <c r="A209" s="8"/>
      <c r="B209" s="10"/>
      <c r="C209" s="10"/>
      <c r="D209" s="5"/>
      <c r="E209" s="6"/>
      <c r="F209" s="7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8"/>
      <c r="R209" s="10"/>
    </row>
    <row r="210" spans="1:18">
      <c r="A210" s="8"/>
      <c r="B210" s="10"/>
      <c r="C210" s="10"/>
      <c r="D210" s="5"/>
      <c r="E210" s="6"/>
      <c r="F210" s="7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8"/>
      <c r="R210" s="10"/>
    </row>
    <row r="211" spans="1:18">
      <c r="A211" s="8"/>
      <c r="B211" s="10"/>
      <c r="C211" s="10"/>
      <c r="D211" s="5"/>
      <c r="E211" s="6"/>
      <c r="F211" s="7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8"/>
      <c r="R211" s="10"/>
    </row>
    <row r="212" spans="1:18">
      <c r="A212" s="8"/>
      <c r="B212" s="10"/>
      <c r="C212" s="10"/>
      <c r="D212" s="5"/>
      <c r="E212" s="6"/>
      <c r="F212" s="7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8"/>
      <c r="R212" s="10"/>
    </row>
    <row r="213" spans="1:18">
      <c r="A213" s="8"/>
      <c r="B213" s="10"/>
      <c r="C213" s="10"/>
      <c r="D213" s="5"/>
      <c r="E213" s="6"/>
      <c r="F213" s="7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8"/>
      <c r="R213" s="10"/>
    </row>
    <row r="214" spans="1:18">
      <c r="A214" s="8"/>
      <c r="B214" s="10"/>
      <c r="C214" s="10"/>
      <c r="D214" s="5"/>
      <c r="E214" s="6"/>
      <c r="F214" s="7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8"/>
      <c r="R214" s="10"/>
    </row>
    <row r="215" spans="1:18">
      <c r="A215" s="8"/>
      <c r="B215" s="10"/>
      <c r="C215" s="10"/>
      <c r="D215" s="5"/>
      <c r="E215" s="6"/>
      <c r="F215" s="7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8"/>
      <c r="R215" s="10"/>
    </row>
    <row r="216" spans="1:18">
      <c r="A216" s="8"/>
      <c r="B216" s="10"/>
      <c r="C216" s="10"/>
      <c r="D216" s="5"/>
      <c r="E216" s="6"/>
      <c r="F216" s="7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8"/>
      <c r="R216" s="10"/>
    </row>
    <row r="217" spans="1:18">
      <c r="A217" s="8"/>
      <c r="B217" s="10"/>
      <c r="C217" s="10"/>
      <c r="D217" s="5"/>
      <c r="E217" s="6"/>
      <c r="F217" s="7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8"/>
      <c r="R217" s="10"/>
    </row>
    <row r="218" spans="1:18">
      <c r="A218" s="8"/>
      <c r="B218" s="10"/>
      <c r="C218" s="10"/>
      <c r="D218" s="5"/>
      <c r="E218" s="6"/>
      <c r="F218" s="7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8"/>
      <c r="R218" s="10"/>
    </row>
    <row r="219" spans="1:18">
      <c r="A219" s="8"/>
      <c r="B219" s="10"/>
      <c r="C219" s="10"/>
      <c r="D219" s="5"/>
      <c r="E219" s="6"/>
      <c r="F219" s="7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8"/>
      <c r="R219" s="10"/>
    </row>
    <row r="220" spans="1:18">
      <c r="A220" s="8"/>
      <c r="B220" s="10"/>
      <c r="C220" s="10"/>
      <c r="D220" s="5"/>
      <c r="E220" s="6"/>
      <c r="F220" s="7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8"/>
      <c r="R220" s="10"/>
    </row>
    <row r="221" spans="1:18">
      <c r="A221" s="8"/>
      <c r="B221" s="10"/>
      <c r="C221" s="10"/>
      <c r="D221" s="5"/>
      <c r="E221" s="6"/>
      <c r="F221" s="7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8"/>
      <c r="R221" s="10"/>
    </row>
    <row r="222" spans="1:18">
      <c r="A222" s="8"/>
      <c r="B222" s="10"/>
      <c r="C222" s="10"/>
      <c r="D222" s="5"/>
      <c r="E222" s="6"/>
      <c r="F222" s="7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8"/>
      <c r="R222" s="10"/>
    </row>
    <row r="223" spans="1:18">
      <c r="A223" s="8"/>
      <c r="B223" s="10"/>
      <c r="C223" s="10"/>
      <c r="D223" s="5"/>
      <c r="E223" s="6"/>
      <c r="F223" s="7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8"/>
      <c r="R223" s="10"/>
    </row>
    <row r="224" spans="1:18">
      <c r="A224" s="8"/>
      <c r="B224" s="10"/>
      <c r="C224" s="10"/>
      <c r="D224" s="5"/>
      <c r="E224" s="6"/>
      <c r="F224" s="7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8"/>
      <c r="R224" s="10"/>
    </row>
    <row r="225" spans="1:18">
      <c r="A225" s="8"/>
      <c r="B225" s="10"/>
      <c r="C225" s="10"/>
      <c r="D225" s="5"/>
      <c r="E225" s="6"/>
      <c r="F225" s="7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8"/>
      <c r="R225" s="10"/>
    </row>
    <row r="226" spans="1:18">
      <c r="A226" s="8"/>
      <c r="B226" s="10"/>
      <c r="C226" s="10"/>
      <c r="D226" s="5"/>
      <c r="E226" s="6"/>
      <c r="F226" s="7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8"/>
      <c r="R226" s="10"/>
    </row>
    <row r="227" spans="1:18">
      <c r="A227" s="8"/>
      <c r="B227" s="10"/>
      <c r="C227" s="10"/>
      <c r="D227" s="5"/>
      <c r="E227" s="6"/>
      <c r="F227" s="7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8"/>
      <c r="R227" s="10"/>
    </row>
    <row r="228" spans="1:18">
      <c r="A228" s="8"/>
      <c r="B228" s="10"/>
      <c r="C228" s="10"/>
      <c r="D228" s="5"/>
      <c r="E228" s="6"/>
      <c r="F228" s="7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8"/>
      <c r="R228" s="10"/>
    </row>
    <row r="229" spans="1:18">
      <c r="A229" s="8"/>
      <c r="B229" s="10"/>
      <c r="C229" s="10"/>
      <c r="D229" s="5"/>
      <c r="E229" s="6"/>
      <c r="F229" s="7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8"/>
      <c r="R229" s="10"/>
    </row>
    <row r="230" spans="1:18">
      <c r="A230" s="8"/>
      <c r="B230" s="10"/>
      <c r="C230" s="10"/>
      <c r="D230" s="5"/>
      <c r="E230" s="6"/>
      <c r="F230" s="7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8"/>
      <c r="R230" s="10"/>
    </row>
    <row r="231" spans="1:18">
      <c r="A231" s="8"/>
      <c r="B231" s="10"/>
      <c r="C231" s="10"/>
      <c r="D231" s="5"/>
      <c r="E231" s="6"/>
      <c r="F231" s="7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8"/>
      <c r="R231" s="10"/>
    </row>
    <row r="232" spans="1:18">
      <c r="A232" s="8"/>
      <c r="B232" s="10"/>
      <c r="C232" s="10"/>
      <c r="D232" s="5"/>
      <c r="E232" s="6"/>
      <c r="F232" s="7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8"/>
      <c r="R232" s="10"/>
    </row>
    <row r="233" spans="1:18">
      <c r="A233" s="8"/>
      <c r="B233" s="10"/>
      <c r="C233" s="10"/>
      <c r="D233" s="5"/>
      <c r="E233" s="6"/>
      <c r="F233" s="7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8"/>
      <c r="R233" s="10"/>
    </row>
    <row r="234" spans="1:18">
      <c r="A234" s="8"/>
      <c r="B234" s="10"/>
      <c r="C234" s="10"/>
      <c r="D234" s="5"/>
      <c r="E234" s="6"/>
      <c r="F234" s="7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8"/>
      <c r="R234" s="10"/>
    </row>
    <row r="235" spans="1:18">
      <c r="A235" s="8"/>
      <c r="B235" s="10"/>
      <c r="C235" s="10"/>
      <c r="D235" s="5"/>
      <c r="E235" s="6"/>
      <c r="F235" s="7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8"/>
      <c r="R235" s="10"/>
    </row>
    <row r="236" spans="1:18">
      <c r="A236" s="8"/>
      <c r="B236" s="10"/>
      <c r="C236" s="10"/>
      <c r="D236" s="5"/>
      <c r="E236" s="6"/>
      <c r="F236" s="7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8"/>
      <c r="R236" s="10"/>
    </row>
    <row r="237" spans="1:18">
      <c r="A237" s="8"/>
      <c r="B237" s="10"/>
      <c r="C237" s="10"/>
      <c r="D237" s="5"/>
      <c r="E237" s="6"/>
      <c r="F237" s="7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8"/>
      <c r="R237" s="10"/>
    </row>
    <row r="238" spans="1:18">
      <c r="A238" s="8"/>
      <c r="B238" s="10"/>
      <c r="C238" s="10"/>
      <c r="D238" s="5"/>
      <c r="E238" s="6"/>
      <c r="F238" s="7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8"/>
      <c r="R238" s="10"/>
    </row>
    <row r="239" spans="1:18">
      <c r="A239" s="8"/>
      <c r="B239" s="10"/>
      <c r="C239" s="10"/>
      <c r="D239" s="5"/>
      <c r="E239" s="6"/>
      <c r="F239" s="7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8"/>
      <c r="R239" s="10"/>
    </row>
    <row r="240" spans="1:18">
      <c r="A240" s="8"/>
      <c r="B240" s="10"/>
      <c r="C240" s="10"/>
      <c r="D240" s="5"/>
      <c r="E240" s="6"/>
      <c r="F240" s="7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8"/>
      <c r="R240" s="10"/>
    </row>
    <row r="241" spans="1:18">
      <c r="A241" s="8"/>
      <c r="B241" s="10"/>
      <c r="C241" s="10"/>
      <c r="D241" s="5"/>
      <c r="E241" s="6"/>
      <c r="F241" s="7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8"/>
      <c r="R241" s="10"/>
    </row>
    <row r="242" spans="1:18">
      <c r="A242" s="8"/>
      <c r="B242" s="10"/>
      <c r="C242" s="10"/>
      <c r="D242" s="5"/>
      <c r="E242" s="6"/>
      <c r="F242" s="7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8"/>
      <c r="R242" s="10"/>
    </row>
    <row r="243" spans="1:18">
      <c r="A243" s="8"/>
      <c r="B243" s="10"/>
      <c r="C243" s="10"/>
      <c r="D243" s="5"/>
      <c r="E243" s="6"/>
      <c r="F243" s="7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8"/>
      <c r="R243" s="10"/>
    </row>
    <row r="244" spans="1:18">
      <c r="A244" s="8"/>
      <c r="B244" s="10"/>
      <c r="C244" s="10"/>
      <c r="D244" s="5"/>
      <c r="E244" s="6"/>
      <c r="F244" s="7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8"/>
      <c r="R244" s="10"/>
    </row>
    <row r="245" spans="1:18">
      <c r="A245" s="8"/>
      <c r="B245" s="10"/>
      <c r="C245" s="10"/>
      <c r="D245" s="5"/>
      <c r="E245" s="6"/>
      <c r="F245" s="7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8"/>
      <c r="R245" s="10"/>
    </row>
    <row r="246" spans="1:18">
      <c r="A246" s="8"/>
      <c r="B246" s="10"/>
      <c r="C246" s="10"/>
      <c r="D246" s="5"/>
      <c r="E246" s="6"/>
      <c r="F246" s="7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8"/>
      <c r="R246" s="10"/>
    </row>
    <row r="247" spans="1:18">
      <c r="A247" s="8"/>
      <c r="B247" s="10"/>
      <c r="C247" s="10"/>
      <c r="D247" s="5"/>
      <c r="E247" s="6"/>
      <c r="F247" s="7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8"/>
      <c r="R247" s="10"/>
    </row>
    <row r="248" spans="1:18">
      <c r="A248" s="8"/>
      <c r="B248" s="10"/>
      <c r="C248" s="10"/>
      <c r="D248" s="5"/>
      <c r="E248" s="6"/>
      <c r="F248" s="7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8"/>
      <c r="R248" s="10"/>
    </row>
    <row r="249" spans="1:18">
      <c r="A249" s="8"/>
      <c r="B249" s="10"/>
      <c r="C249" s="10"/>
      <c r="D249" s="5"/>
      <c r="E249" s="6"/>
      <c r="F249" s="7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8"/>
      <c r="R249" s="10"/>
    </row>
    <row r="250" spans="1:18">
      <c r="A250" s="8"/>
      <c r="B250" s="10"/>
      <c r="C250" s="10"/>
      <c r="D250" s="5"/>
      <c r="E250" s="6"/>
      <c r="F250" s="7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8"/>
      <c r="R250" s="10"/>
    </row>
    <row r="251" spans="1:18">
      <c r="A251" s="8"/>
      <c r="B251" s="10"/>
      <c r="C251" s="10"/>
      <c r="D251" s="5"/>
      <c r="E251" s="6"/>
      <c r="F251" s="7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8"/>
      <c r="R251" s="10"/>
    </row>
    <row r="252" spans="1:18">
      <c r="A252" s="8"/>
      <c r="B252" s="10"/>
      <c r="C252" s="10"/>
      <c r="D252" s="5"/>
      <c r="E252" s="6"/>
      <c r="F252" s="7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8"/>
      <c r="R252" s="10"/>
    </row>
    <row r="253" spans="1:18">
      <c r="A253" s="8"/>
      <c r="B253" s="10"/>
      <c r="C253" s="10"/>
      <c r="D253" s="5"/>
      <c r="E253" s="6"/>
      <c r="F253" s="7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8"/>
      <c r="R253" s="10"/>
    </row>
    <row r="254" spans="1:18">
      <c r="A254" s="8"/>
      <c r="B254" s="10"/>
      <c r="C254" s="10"/>
      <c r="D254" s="5"/>
      <c r="E254" s="6"/>
      <c r="F254" s="7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8"/>
      <c r="R254" s="10"/>
    </row>
    <row r="255" spans="1:18">
      <c r="A255" s="8"/>
      <c r="B255" s="10"/>
      <c r="C255" s="10"/>
      <c r="D255" s="5"/>
      <c r="E255" s="6"/>
      <c r="F255" s="7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8"/>
      <c r="R255" s="10"/>
    </row>
    <row r="256" spans="1:18">
      <c r="A256" s="8"/>
      <c r="B256" s="10"/>
      <c r="C256" s="10"/>
      <c r="D256" s="5"/>
      <c r="E256" s="6"/>
      <c r="F256" s="7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8"/>
      <c r="R256" s="10"/>
    </row>
    <row r="257" spans="1:18">
      <c r="A257" s="8"/>
      <c r="B257" s="10"/>
      <c r="C257" s="10"/>
      <c r="D257" s="5"/>
      <c r="E257" s="6"/>
      <c r="F257" s="7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8"/>
      <c r="R257" s="10"/>
    </row>
    <row r="258" spans="1:18">
      <c r="A258" s="8"/>
      <c r="B258" s="10"/>
      <c r="C258" s="10"/>
      <c r="D258" s="5"/>
      <c r="E258" s="6"/>
      <c r="F258" s="7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8"/>
      <c r="R258" s="10"/>
    </row>
    <row r="259" spans="1:18">
      <c r="A259" s="8"/>
      <c r="B259" s="10"/>
      <c r="C259" s="10"/>
      <c r="D259" s="5"/>
      <c r="E259" s="6"/>
      <c r="F259" s="7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8"/>
      <c r="R259" s="10"/>
    </row>
    <row r="260" spans="1:18">
      <c r="A260" s="8"/>
      <c r="B260" s="10"/>
      <c r="C260" s="10"/>
      <c r="D260" s="5"/>
      <c r="E260" s="6"/>
      <c r="F260" s="7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8"/>
      <c r="R260" s="10"/>
    </row>
    <row r="261" spans="1:18">
      <c r="A261" s="8"/>
      <c r="B261" s="10"/>
      <c r="C261" s="10"/>
      <c r="D261" s="5"/>
      <c r="E261" s="6"/>
      <c r="F261" s="7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8"/>
      <c r="R261" s="10"/>
    </row>
    <row r="262" spans="1:18">
      <c r="A262" s="8"/>
      <c r="B262" s="10"/>
      <c r="C262" s="10"/>
      <c r="D262" s="5"/>
      <c r="E262" s="6"/>
      <c r="F262" s="7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8"/>
      <c r="R262" s="10"/>
    </row>
    <row r="263" spans="1:18">
      <c r="A263" s="8"/>
      <c r="B263" s="10"/>
      <c r="C263" s="10"/>
      <c r="D263" s="5"/>
      <c r="E263" s="6"/>
      <c r="F263" s="7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8"/>
      <c r="R263" s="10"/>
    </row>
    <row r="264" spans="1:18">
      <c r="A264" s="8"/>
      <c r="B264" s="10"/>
      <c r="C264" s="10"/>
      <c r="D264" s="5"/>
      <c r="E264" s="6"/>
      <c r="F264" s="7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8"/>
      <c r="R264" s="10"/>
    </row>
    <row r="265" spans="1:18">
      <c r="A265" s="8"/>
      <c r="B265" s="10"/>
      <c r="C265" s="10"/>
      <c r="D265" s="5"/>
      <c r="E265" s="6"/>
      <c r="F265" s="7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8"/>
      <c r="R265" s="10"/>
    </row>
    <row r="266" spans="1:18">
      <c r="A266" s="8"/>
      <c r="B266" s="10"/>
      <c r="C266" s="10"/>
      <c r="D266" s="5"/>
      <c r="E266" s="6"/>
      <c r="F266" s="7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8"/>
      <c r="R266" s="10"/>
    </row>
    <row r="267" spans="1:18">
      <c r="A267" s="8"/>
      <c r="B267" s="10"/>
      <c r="C267" s="10"/>
      <c r="D267" s="5"/>
      <c r="E267" s="6"/>
      <c r="F267" s="7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8"/>
      <c r="R267" s="10"/>
    </row>
    <row r="268" spans="1:18">
      <c r="A268" s="8"/>
      <c r="B268" s="10"/>
      <c r="C268" s="10"/>
      <c r="D268" s="5"/>
      <c r="E268" s="6"/>
      <c r="F268" s="7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8"/>
      <c r="R268" s="10"/>
    </row>
    <row r="269" spans="1:18">
      <c r="A269" s="8"/>
      <c r="B269" s="10"/>
      <c r="C269" s="10"/>
      <c r="D269" s="5"/>
      <c r="E269" s="6"/>
      <c r="F269" s="7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8"/>
      <c r="R269" s="10"/>
    </row>
    <row r="270" spans="1:18">
      <c r="A270" s="8"/>
      <c r="B270" s="10"/>
      <c r="C270" s="10"/>
      <c r="D270" s="5"/>
      <c r="E270" s="6"/>
      <c r="F270" s="7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8"/>
      <c r="R270" s="10"/>
    </row>
    <row r="271" spans="1:18">
      <c r="A271" s="8"/>
      <c r="B271" s="10"/>
      <c r="C271" s="10"/>
      <c r="D271" s="5"/>
      <c r="E271" s="6"/>
      <c r="F271" s="7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8"/>
      <c r="R271" s="10"/>
    </row>
    <row r="272" spans="1:18">
      <c r="A272" s="8"/>
      <c r="B272" s="10"/>
      <c r="C272" s="10"/>
      <c r="D272" s="5"/>
      <c r="E272" s="6"/>
      <c r="F272" s="7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8"/>
      <c r="R272" s="10"/>
    </row>
    <row r="273" spans="1:18">
      <c r="A273" s="8"/>
      <c r="B273" s="10"/>
      <c r="C273" s="10"/>
      <c r="D273" s="5"/>
      <c r="E273" s="6"/>
      <c r="F273" s="7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8"/>
      <c r="R273" s="10"/>
    </row>
    <row r="274" spans="1:18">
      <c r="A274" s="8"/>
      <c r="B274" s="10"/>
      <c r="C274" s="10"/>
      <c r="D274" s="5"/>
      <c r="E274" s="6"/>
      <c r="F274" s="7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8"/>
      <c r="R274" s="10"/>
    </row>
    <row r="275" spans="1:18">
      <c r="A275" s="8"/>
      <c r="B275" s="10"/>
      <c r="C275" s="10"/>
      <c r="D275" s="5"/>
      <c r="E275" s="6"/>
      <c r="F275" s="7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8"/>
      <c r="R275" s="10"/>
    </row>
    <row r="276" spans="1:18">
      <c r="A276" s="8"/>
      <c r="B276" s="10"/>
      <c r="C276" s="10"/>
      <c r="D276" s="5"/>
      <c r="E276" s="6"/>
      <c r="F276" s="7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8"/>
      <c r="R276" s="10"/>
    </row>
    <row r="277" spans="1:18">
      <c r="A277" s="8"/>
      <c r="B277" s="10"/>
      <c r="C277" s="10"/>
      <c r="D277" s="5"/>
      <c r="E277" s="6"/>
      <c r="F277" s="7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8"/>
      <c r="R277" s="10"/>
    </row>
    <row r="278" spans="1:18">
      <c r="A278" s="8"/>
      <c r="B278" s="10"/>
      <c r="C278" s="10"/>
      <c r="D278" s="5"/>
      <c r="E278" s="6"/>
      <c r="F278" s="7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8"/>
      <c r="R278" s="10"/>
    </row>
    <row r="279" spans="1:18">
      <c r="A279" s="8"/>
      <c r="B279" s="10"/>
      <c r="C279" s="10"/>
      <c r="D279" s="5"/>
      <c r="E279" s="6"/>
      <c r="F279" s="7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8"/>
      <c r="R279" s="10"/>
    </row>
    <row r="280" spans="1:18">
      <c r="A280" s="8"/>
      <c r="B280" s="10"/>
      <c r="C280" s="10"/>
      <c r="D280" s="5"/>
      <c r="E280" s="6"/>
      <c r="F280" s="7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8"/>
      <c r="R280" s="10"/>
    </row>
    <row r="281" spans="1:18">
      <c r="A281" s="8"/>
      <c r="B281" s="10"/>
      <c r="C281" s="10"/>
      <c r="D281" s="5"/>
      <c r="E281" s="6"/>
      <c r="F281" s="7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8"/>
      <c r="R281" s="10"/>
    </row>
    <row r="282" spans="1:18">
      <c r="A282" s="8"/>
      <c r="B282" s="10"/>
      <c r="C282" s="10"/>
      <c r="D282" s="5"/>
      <c r="E282" s="6"/>
      <c r="F282" s="7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8"/>
      <c r="R282" s="10"/>
    </row>
    <row r="283" spans="1:18">
      <c r="A283" s="8"/>
      <c r="B283" s="10"/>
      <c r="C283" s="10"/>
      <c r="D283" s="5"/>
      <c r="E283" s="6"/>
      <c r="F283" s="7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8"/>
      <c r="R283" s="10"/>
    </row>
    <row r="284" spans="1:18">
      <c r="A284" s="8"/>
      <c r="B284" s="10"/>
      <c r="C284" s="10"/>
      <c r="D284" s="5"/>
      <c r="E284" s="6"/>
      <c r="F284" s="7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8"/>
      <c r="R284" s="10"/>
    </row>
    <row r="285" spans="1:18">
      <c r="A285" s="8"/>
      <c r="B285" s="10"/>
      <c r="C285" s="10"/>
      <c r="D285" s="5"/>
      <c r="E285" s="6"/>
      <c r="F285" s="7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8"/>
      <c r="R285" s="10"/>
    </row>
    <row r="286" spans="1:18">
      <c r="A286" s="8"/>
      <c r="B286" s="10"/>
      <c r="C286" s="10"/>
      <c r="D286" s="5"/>
      <c r="E286" s="6"/>
      <c r="F286" s="7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8"/>
      <c r="R286" s="10"/>
    </row>
    <row r="287" spans="1:18">
      <c r="A287" s="8"/>
      <c r="B287" s="10"/>
      <c r="C287" s="10"/>
      <c r="D287" s="5"/>
      <c r="E287" s="6"/>
      <c r="F287" s="7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8"/>
      <c r="R287" s="10"/>
    </row>
    <row r="288" spans="1:18">
      <c r="A288" s="8"/>
      <c r="B288" s="10"/>
      <c r="C288" s="10"/>
      <c r="D288" s="5"/>
      <c r="E288" s="6"/>
      <c r="F288" s="7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8"/>
      <c r="R288" s="10"/>
    </row>
    <row r="289" spans="1:18">
      <c r="A289" s="8"/>
      <c r="B289" s="10"/>
      <c r="C289" s="10"/>
      <c r="D289" s="5"/>
      <c r="E289" s="6"/>
      <c r="F289" s="7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8"/>
      <c r="R289" s="10"/>
    </row>
    <row r="290" spans="1:18">
      <c r="A290" s="8"/>
      <c r="B290" s="10"/>
      <c r="C290" s="10"/>
      <c r="D290" s="5"/>
      <c r="E290" s="6"/>
      <c r="F290" s="7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8"/>
      <c r="R290" s="10"/>
    </row>
    <row r="291" spans="1:18">
      <c r="A291" s="8"/>
      <c r="B291" s="10"/>
      <c r="C291" s="10"/>
      <c r="D291" s="5"/>
      <c r="E291" s="6"/>
      <c r="F291" s="7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8"/>
      <c r="R291" s="10"/>
    </row>
    <row r="292" spans="1:18">
      <c r="A292" s="8"/>
      <c r="B292" s="10"/>
      <c r="C292" s="10"/>
      <c r="D292" s="5"/>
      <c r="E292" s="6"/>
      <c r="F292" s="7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8"/>
      <c r="R292" s="10"/>
    </row>
    <row r="293" spans="1:18">
      <c r="A293" s="8"/>
      <c r="B293" s="10"/>
      <c r="C293" s="10"/>
      <c r="D293" s="5"/>
      <c r="E293" s="6"/>
      <c r="F293" s="7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8"/>
      <c r="R293" s="10"/>
    </row>
    <row r="294" spans="1:18">
      <c r="A294" s="8"/>
      <c r="B294" s="10"/>
      <c r="C294" s="10"/>
      <c r="D294" s="5"/>
      <c r="E294" s="6"/>
      <c r="F294" s="7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8"/>
      <c r="R294" s="10"/>
    </row>
    <row r="295" spans="1:18">
      <c r="A295" s="8"/>
      <c r="B295" s="10"/>
      <c r="C295" s="10"/>
      <c r="D295" s="5"/>
      <c r="E295" s="6"/>
      <c r="F295" s="7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8"/>
      <c r="R295" s="10"/>
    </row>
    <row r="296" spans="1:18">
      <c r="A296" s="8"/>
      <c r="B296" s="10"/>
      <c r="C296" s="10"/>
      <c r="D296" s="5"/>
      <c r="E296" s="6"/>
      <c r="F296" s="7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8"/>
      <c r="R296" s="10"/>
    </row>
    <row r="297" spans="1:18">
      <c r="A297" s="8"/>
      <c r="B297" s="10"/>
      <c r="C297" s="10"/>
      <c r="D297" s="5"/>
      <c r="E297" s="6"/>
      <c r="F297" s="7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8"/>
      <c r="R297" s="10"/>
    </row>
    <row r="298" spans="1:18">
      <c r="A298" s="8"/>
      <c r="B298" s="10"/>
      <c r="C298" s="10"/>
      <c r="D298" s="5"/>
      <c r="E298" s="6"/>
      <c r="F298" s="7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8"/>
      <c r="R298" s="10"/>
    </row>
    <row r="299" spans="1:18">
      <c r="A299" s="8"/>
      <c r="B299" s="10"/>
      <c r="C299" s="10"/>
      <c r="D299" s="5"/>
      <c r="E299" s="6"/>
      <c r="F299" s="7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8"/>
      <c r="R299" s="10"/>
    </row>
    <row r="300" spans="1:18">
      <c r="A300" s="8"/>
      <c r="B300" s="10"/>
      <c r="C300" s="10"/>
      <c r="D300" s="5"/>
      <c r="E300" s="6"/>
      <c r="F300" s="7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8"/>
      <c r="R300" s="10"/>
    </row>
    <row r="301" spans="1:18">
      <c r="A301" s="8"/>
      <c r="B301" s="10"/>
      <c r="C301" s="10"/>
      <c r="D301" s="5"/>
      <c r="E301" s="6"/>
      <c r="F301" s="7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8"/>
      <c r="R301" s="10"/>
    </row>
    <row r="302" spans="1:18">
      <c r="A302" s="8"/>
      <c r="B302" s="10"/>
      <c r="C302" s="10"/>
      <c r="D302" s="5"/>
      <c r="E302" s="6"/>
      <c r="F302" s="7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8"/>
      <c r="R302" s="10"/>
    </row>
    <row r="303" spans="1:18">
      <c r="A303" s="8"/>
      <c r="B303" s="10"/>
      <c r="C303" s="10"/>
      <c r="D303" s="5"/>
      <c r="E303" s="6"/>
      <c r="F303" s="7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8"/>
      <c r="R303" s="10"/>
    </row>
    <row r="304" spans="1:18">
      <c r="A304" s="8"/>
      <c r="B304" s="10"/>
      <c r="C304" s="10"/>
      <c r="D304" s="5"/>
      <c r="E304" s="6"/>
      <c r="F304" s="7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8"/>
      <c r="R304" s="10"/>
    </row>
    <row r="305" spans="1:18">
      <c r="A305" s="8"/>
      <c r="B305" s="10"/>
      <c r="C305" s="10"/>
      <c r="D305" s="5"/>
      <c r="E305" s="6"/>
      <c r="F305" s="7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8"/>
      <c r="R305" s="10"/>
    </row>
    <row r="306" spans="1:18">
      <c r="A306" s="8"/>
      <c r="B306" s="10"/>
      <c r="C306" s="10"/>
      <c r="D306" s="5"/>
      <c r="E306" s="6"/>
      <c r="F306" s="7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8"/>
      <c r="R306" s="10"/>
    </row>
    <row r="307" spans="1:18">
      <c r="A307" s="8"/>
      <c r="B307" s="10"/>
      <c r="C307" s="10"/>
      <c r="D307" s="5"/>
      <c r="E307" s="6"/>
      <c r="F307" s="7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8"/>
      <c r="R307" s="10"/>
    </row>
    <row r="308" spans="1:18">
      <c r="A308" s="8"/>
      <c r="B308" s="10"/>
      <c r="C308" s="10"/>
      <c r="D308" s="5"/>
      <c r="E308" s="6"/>
      <c r="F308" s="7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8"/>
      <c r="R308" s="10"/>
    </row>
    <row r="309" spans="1:18">
      <c r="A309" s="8"/>
      <c r="B309" s="10"/>
      <c r="C309" s="10"/>
      <c r="D309" s="5"/>
      <c r="E309" s="6"/>
      <c r="F309" s="7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8"/>
      <c r="R309" s="10"/>
    </row>
    <row r="310" spans="1:18">
      <c r="A310" s="8"/>
      <c r="B310" s="10"/>
      <c r="C310" s="10"/>
      <c r="D310" s="5"/>
      <c r="E310" s="6"/>
      <c r="F310" s="7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8"/>
      <c r="R310" s="10"/>
    </row>
    <row r="311" spans="1:18">
      <c r="A311" s="8"/>
      <c r="B311" s="10"/>
      <c r="C311" s="10"/>
      <c r="D311" s="5"/>
      <c r="E311" s="6"/>
      <c r="F311" s="7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8"/>
      <c r="R311" s="10"/>
    </row>
    <row r="312" spans="1:18">
      <c r="A312" s="8"/>
      <c r="B312" s="10"/>
      <c r="C312" s="10"/>
      <c r="D312" s="5"/>
      <c r="E312" s="6"/>
      <c r="F312" s="7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8"/>
      <c r="R312" s="10"/>
    </row>
    <row r="313" spans="1:18">
      <c r="A313" s="8"/>
      <c r="B313" s="10"/>
      <c r="C313" s="10"/>
      <c r="D313" s="5"/>
      <c r="E313" s="6"/>
      <c r="F313" s="7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8"/>
      <c r="R313" s="10"/>
    </row>
    <row r="314" spans="1:18">
      <c r="A314" s="8"/>
      <c r="B314" s="10"/>
      <c r="C314" s="10"/>
      <c r="D314" s="5"/>
      <c r="E314" s="6"/>
      <c r="F314" s="7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8"/>
      <c r="R314" s="10"/>
    </row>
    <row r="315" spans="1:18">
      <c r="A315" s="8"/>
      <c r="B315" s="10"/>
      <c r="C315" s="10"/>
      <c r="D315" s="5"/>
      <c r="E315" s="6"/>
      <c r="F315" s="7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8"/>
      <c r="R315" s="10"/>
    </row>
    <row r="316" spans="1:18">
      <c r="A316" s="8"/>
      <c r="B316" s="10"/>
      <c r="C316" s="10"/>
      <c r="D316" s="5"/>
      <c r="E316" s="6"/>
      <c r="F316" s="7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8"/>
      <c r="R316" s="10"/>
    </row>
    <row r="317" spans="1:18">
      <c r="A317" s="8"/>
      <c r="B317" s="10"/>
      <c r="C317" s="10"/>
      <c r="D317" s="5"/>
      <c r="E317" s="6"/>
      <c r="F317" s="7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8"/>
      <c r="R317" s="10"/>
    </row>
    <row r="318" spans="1:18">
      <c r="A318" s="8"/>
      <c r="B318" s="10"/>
      <c r="C318" s="10"/>
      <c r="D318" s="5"/>
      <c r="E318" s="6"/>
      <c r="F318" s="7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8"/>
      <c r="R318" s="10"/>
    </row>
    <row r="319" spans="1:18">
      <c r="A319" s="8"/>
      <c r="B319" s="10"/>
      <c r="C319" s="10"/>
      <c r="D319" s="5"/>
      <c r="E319" s="6"/>
      <c r="F319" s="7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8"/>
      <c r="R319" s="10"/>
    </row>
    <row r="320" spans="1:18">
      <c r="A320" s="8"/>
      <c r="B320" s="10"/>
      <c r="C320" s="10"/>
      <c r="D320" s="5"/>
      <c r="E320" s="6"/>
      <c r="F320" s="7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8"/>
      <c r="R320" s="10"/>
    </row>
    <row r="321" spans="1:18">
      <c r="A321" s="8"/>
      <c r="B321" s="10"/>
      <c r="C321" s="10"/>
      <c r="D321" s="5"/>
      <c r="E321" s="6"/>
      <c r="F321" s="7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8"/>
      <c r="R321" s="10"/>
    </row>
    <row r="322" spans="1:18">
      <c r="A322" s="8"/>
      <c r="B322" s="10"/>
      <c r="C322" s="10"/>
      <c r="D322" s="5"/>
      <c r="E322" s="6"/>
      <c r="F322" s="7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8"/>
      <c r="R322" s="10"/>
    </row>
    <row r="323" spans="1:18">
      <c r="A323" s="8"/>
      <c r="B323" s="10"/>
      <c r="C323" s="10"/>
      <c r="D323" s="5"/>
      <c r="E323" s="6"/>
      <c r="F323" s="7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8"/>
      <c r="R323" s="10"/>
    </row>
    <row r="324" spans="1:18">
      <c r="A324" s="8"/>
      <c r="B324" s="10"/>
      <c r="C324" s="10"/>
      <c r="D324" s="5"/>
      <c r="E324" s="6"/>
      <c r="F324" s="7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8"/>
      <c r="R324" s="10"/>
    </row>
    <row r="325" spans="1:18">
      <c r="A325" s="8"/>
      <c r="B325" s="10"/>
      <c r="C325" s="10"/>
      <c r="D325" s="5"/>
      <c r="E325" s="6"/>
      <c r="F325" s="7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8"/>
      <c r="R325" s="10"/>
    </row>
    <row r="326" spans="1:18">
      <c r="A326" s="8"/>
      <c r="B326" s="10"/>
      <c r="C326" s="10"/>
      <c r="D326" s="5"/>
      <c r="E326" s="6"/>
      <c r="F326" s="7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8"/>
      <c r="R326" s="10"/>
    </row>
    <row r="327" spans="1:18">
      <c r="A327" s="8"/>
      <c r="B327" s="10"/>
      <c r="C327" s="10"/>
      <c r="D327" s="5"/>
      <c r="E327" s="6"/>
      <c r="F327" s="7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8"/>
      <c r="R327" s="10"/>
    </row>
    <row r="328" spans="1:18">
      <c r="A328" s="8"/>
      <c r="B328" s="10"/>
      <c r="C328" s="10"/>
      <c r="D328" s="5"/>
      <c r="E328" s="6"/>
      <c r="F328" s="7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8"/>
      <c r="R328" s="10"/>
    </row>
    <row r="329" spans="1:18">
      <c r="A329" s="8"/>
      <c r="B329" s="10"/>
      <c r="C329" s="10"/>
      <c r="D329" s="5"/>
      <c r="E329" s="6"/>
      <c r="F329" s="7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8"/>
      <c r="R329" s="10"/>
    </row>
    <row r="330" spans="1:18">
      <c r="A330" s="8"/>
      <c r="B330" s="10"/>
      <c r="C330" s="10"/>
      <c r="D330" s="5"/>
      <c r="E330" s="6"/>
      <c r="F330" s="7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8"/>
      <c r="R330" s="10"/>
    </row>
    <row r="331" spans="1:18">
      <c r="A331" s="8"/>
      <c r="B331" s="10"/>
      <c r="C331" s="10"/>
      <c r="D331" s="5"/>
      <c r="E331" s="6"/>
      <c r="F331" s="7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8"/>
      <c r="R331" s="10"/>
    </row>
    <row r="332" spans="1:18">
      <c r="A332" s="8"/>
      <c r="B332" s="10"/>
      <c r="C332" s="10"/>
      <c r="D332" s="5"/>
      <c r="E332" s="6"/>
      <c r="F332" s="7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8"/>
      <c r="R332" s="10"/>
    </row>
    <row r="333" spans="1:18">
      <c r="A333" s="8"/>
      <c r="B333" s="10"/>
      <c r="C333" s="10"/>
      <c r="D333" s="5"/>
      <c r="E333" s="6"/>
      <c r="F333" s="7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8"/>
      <c r="R333" s="10"/>
    </row>
    <row r="334" spans="1:18">
      <c r="A334" s="8"/>
      <c r="B334" s="10"/>
      <c r="C334" s="10"/>
      <c r="D334" s="5"/>
      <c r="E334" s="6"/>
      <c r="F334" s="7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8"/>
      <c r="R334" s="10"/>
    </row>
    <row r="335" spans="1:18">
      <c r="A335" s="8"/>
      <c r="B335" s="10"/>
      <c r="C335" s="10"/>
      <c r="D335" s="5"/>
      <c r="E335" s="6"/>
      <c r="F335" s="7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8"/>
      <c r="R335" s="10"/>
    </row>
    <row r="336" spans="1:18">
      <c r="A336" s="8"/>
      <c r="B336" s="10"/>
      <c r="C336" s="10"/>
      <c r="D336" s="5"/>
      <c r="E336" s="6"/>
      <c r="F336" s="7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8"/>
      <c r="R336" s="10"/>
    </row>
    <row r="337" spans="1:18">
      <c r="A337" s="8"/>
      <c r="B337" s="10"/>
      <c r="C337" s="10"/>
      <c r="D337" s="5"/>
      <c r="E337" s="6"/>
      <c r="F337" s="7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8"/>
      <c r="R337" s="10"/>
    </row>
    <row r="338" spans="1:18">
      <c r="A338" s="8"/>
      <c r="B338" s="10"/>
      <c r="C338" s="10"/>
      <c r="D338" s="5"/>
      <c r="E338" s="6"/>
      <c r="F338" s="7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8"/>
      <c r="R338" s="10"/>
    </row>
    <row r="339" spans="1:18">
      <c r="A339" s="8"/>
      <c r="B339" s="10"/>
      <c r="C339" s="10"/>
      <c r="D339" s="5"/>
      <c r="E339" s="6"/>
      <c r="F339" s="7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8"/>
      <c r="R339" s="10"/>
    </row>
    <row r="340" spans="1:18">
      <c r="A340" s="8"/>
      <c r="B340" s="10"/>
      <c r="C340" s="10"/>
      <c r="D340" s="5"/>
      <c r="E340" s="6"/>
      <c r="F340" s="7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8"/>
      <c r="R340" s="10"/>
    </row>
    <row r="341" spans="1:18">
      <c r="A341" s="8"/>
      <c r="B341" s="10"/>
      <c r="C341" s="10"/>
      <c r="D341" s="5"/>
      <c r="E341" s="6"/>
      <c r="F341" s="7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8"/>
      <c r="R341" s="10"/>
    </row>
    <row r="342" spans="1:18">
      <c r="A342" s="8"/>
      <c r="B342" s="10"/>
      <c r="C342" s="10"/>
      <c r="D342" s="5"/>
      <c r="E342" s="6"/>
      <c r="F342" s="7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8"/>
      <c r="R342" s="10"/>
    </row>
    <row r="343" spans="1:18">
      <c r="A343" s="8"/>
      <c r="B343" s="10"/>
      <c r="C343" s="10"/>
      <c r="D343" s="5"/>
      <c r="E343" s="6"/>
      <c r="F343" s="7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8"/>
      <c r="R343" s="10"/>
    </row>
    <row r="344" spans="1:18">
      <c r="A344" s="8"/>
      <c r="B344" s="10"/>
      <c r="C344" s="10"/>
      <c r="D344" s="5"/>
      <c r="E344" s="6"/>
      <c r="F344" s="7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8"/>
      <c r="R344" s="10"/>
    </row>
    <row r="345" spans="1:18">
      <c r="A345" s="8"/>
      <c r="B345" s="10"/>
      <c r="C345" s="10"/>
      <c r="D345" s="5"/>
      <c r="E345" s="6"/>
      <c r="F345" s="7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8"/>
      <c r="R345" s="10"/>
    </row>
    <row r="346" spans="1:18">
      <c r="A346" s="8"/>
      <c r="B346" s="10"/>
      <c r="C346" s="10"/>
      <c r="D346" s="5"/>
      <c r="E346" s="6"/>
      <c r="F346" s="7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8"/>
      <c r="R346" s="10"/>
    </row>
    <row r="347" spans="1:18">
      <c r="A347" s="8"/>
      <c r="B347" s="10"/>
      <c r="C347" s="10"/>
      <c r="D347" s="5"/>
      <c r="E347" s="6"/>
      <c r="F347" s="7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8"/>
      <c r="R347" s="10"/>
    </row>
    <row r="348" spans="1:18">
      <c r="A348" s="8"/>
      <c r="B348" s="10"/>
      <c r="C348" s="10"/>
      <c r="D348" s="5"/>
      <c r="E348" s="6"/>
      <c r="F348" s="7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8"/>
      <c r="R348" s="10"/>
    </row>
    <row r="349" spans="1:18">
      <c r="A349" s="8"/>
      <c r="B349" s="10"/>
      <c r="C349" s="10"/>
      <c r="D349" s="5"/>
      <c r="E349" s="6"/>
      <c r="F349" s="7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8"/>
      <c r="R349" s="10"/>
    </row>
    <row r="350" spans="1:18">
      <c r="A350" s="8"/>
      <c r="B350" s="10"/>
      <c r="C350" s="10"/>
      <c r="D350" s="5"/>
      <c r="E350" s="6"/>
      <c r="F350" s="7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8"/>
      <c r="R350" s="10"/>
    </row>
    <row r="351" spans="1:18">
      <c r="A351" s="8"/>
      <c r="B351" s="10"/>
      <c r="C351" s="10"/>
      <c r="D351" s="5"/>
      <c r="E351" s="6"/>
      <c r="F351" s="7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8"/>
      <c r="R351" s="10"/>
    </row>
    <row r="352" spans="1:18">
      <c r="A352" s="8"/>
      <c r="B352" s="10"/>
      <c r="C352" s="10"/>
      <c r="D352" s="5"/>
      <c r="E352" s="6"/>
      <c r="F352" s="7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8"/>
      <c r="R352" s="10"/>
    </row>
    <row r="353" spans="1:18">
      <c r="A353" s="8"/>
      <c r="B353" s="10"/>
      <c r="C353" s="10"/>
      <c r="D353" s="5"/>
      <c r="E353" s="6"/>
      <c r="F353" s="7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8"/>
      <c r="R353" s="10"/>
    </row>
    <row r="354" spans="1:18">
      <c r="A354" s="8"/>
      <c r="B354" s="10"/>
      <c r="C354" s="10"/>
      <c r="D354" s="5"/>
      <c r="E354" s="6"/>
      <c r="F354" s="7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8"/>
      <c r="R354" s="10"/>
    </row>
    <row r="355" spans="1:18">
      <c r="A355" s="8"/>
      <c r="B355" s="10"/>
      <c r="C355" s="10"/>
      <c r="D355" s="5"/>
      <c r="E355" s="6"/>
      <c r="F355" s="7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8"/>
      <c r="R355" s="10"/>
    </row>
    <row r="356" spans="1:18">
      <c r="A356" s="8"/>
      <c r="B356" s="10"/>
      <c r="C356" s="10"/>
      <c r="D356" s="5"/>
      <c r="E356" s="6"/>
      <c r="F356" s="7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8"/>
      <c r="R356" s="10"/>
    </row>
    <row r="357" spans="1:18">
      <c r="A357" s="8"/>
      <c r="B357" s="10"/>
      <c r="C357" s="10"/>
      <c r="D357" s="5"/>
      <c r="E357" s="6"/>
      <c r="F357" s="7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8"/>
      <c r="R357" s="10"/>
    </row>
    <row r="358" spans="1:18">
      <c r="A358" s="8"/>
      <c r="B358" s="10"/>
      <c r="C358" s="10"/>
      <c r="D358" s="5"/>
      <c r="E358" s="6"/>
      <c r="F358" s="7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8"/>
      <c r="R358" s="10"/>
    </row>
    <row r="359" spans="1:18">
      <c r="A359" s="8"/>
      <c r="B359" s="10"/>
      <c r="C359" s="10"/>
      <c r="D359" s="5"/>
      <c r="E359" s="6"/>
      <c r="F359" s="7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8"/>
      <c r="R359" s="10"/>
    </row>
    <row r="360" spans="1:18">
      <c r="A360" s="8"/>
      <c r="B360" s="10"/>
      <c r="C360" s="10"/>
      <c r="D360" s="5"/>
      <c r="E360" s="6"/>
      <c r="F360" s="7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8"/>
      <c r="R360" s="10"/>
    </row>
    <row r="361" spans="1:18">
      <c r="A361" s="8"/>
      <c r="B361" s="10"/>
      <c r="C361" s="10"/>
      <c r="D361" s="5"/>
      <c r="E361" s="6"/>
      <c r="F361" s="7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8"/>
      <c r="R361" s="10"/>
    </row>
    <row r="362" spans="1:18">
      <c r="A362" s="8"/>
      <c r="B362" s="10"/>
      <c r="C362" s="10"/>
      <c r="D362" s="5"/>
      <c r="E362" s="6"/>
      <c r="F362" s="7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8"/>
      <c r="R362" s="10"/>
    </row>
    <row r="363" spans="1:18">
      <c r="A363" s="8"/>
      <c r="B363" s="10"/>
      <c r="C363" s="10"/>
      <c r="D363" s="5"/>
      <c r="E363" s="6"/>
      <c r="F363" s="7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8"/>
      <c r="R363" s="10"/>
    </row>
    <row r="364" spans="1:18">
      <c r="A364" s="8"/>
      <c r="B364" s="10"/>
      <c r="C364" s="10"/>
      <c r="D364" s="5"/>
      <c r="E364" s="6"/>
      <c r="F364" s="7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8"/>
      <c r="R364" s="10"/>
    </row>
    <row r="365" spans="1:18">
      <c r="A365" s="8"/>
      <c r="B365" s="10"/>
      <c r="C365" s="10"/>
      <c r="D365" s="5"/>
      <c r="E365" s="6"/>
      <c r="F365" s="7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8"/>
      <c r="R365" s="10"/>
    </row>
    <row r="366" spans="1:18">
      <c r="A366" s="8"/>
      <c r="B366" s="10"/>
      <c r="C366" s="10"/>
      <c r="D366" s="5"/>
      <c r="E366" s="6"/>
      <c r="F366" s="7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8"/>
      <c r="R366" s="10"/>
    </row>
    <row r="367" spans="1:18">
      <c r="A367" s="8"/>
      <c r="B367" s="10"/>
      <c r="C367" s="10"/>
      <c r="D367" s="5"/>
      <c r="E367" s="6"/>
      <c r="F367" s="7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8"/>
      <c r="R367" s="10"/>
    </row>
    <row r="368" spans="1:18">
      <c r="A368" s="8"/>
      <c r="B368" s="10"/>
      <c r="C368" s="10"/>
      <c r="D368" s="5"/>
      <c r="E368" s="6"/>
      <c r="F368" s="7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8"/>
      <c r="R368" s="10"/>
    </row>
    <row r="369" spans="1:18">
      <c r="A369" s="8"/>
      <c r="B369" s="10"/>
      <c r="C369" s="10"/>
      <c r="D369" s="5"/>
      <c r="E369" s="6"/>
      <c r="F369" s="7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8"/>
      <c r="R369" s="10"/>
    </row>
    <row r="370" spans="1:18">
      <c r="A370" s="8"/>
      <c r="B370" s="10"/>
      <c r="C370" s="10"/>
      <c r="D370" s="5"/>
      <c r="E370" s="6"/>
      <c r="F370" s="7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8"/>
      <c r="R370" s="10"/>
    </row>
    <row r="371" spans="1:18">
      <c r="A371" s="8"/>
      <c r="B371" s="10"/>
      <c r="C371" s="10"/>
      <c r="D371" s="5"/>
      <c r="E371" s="6"/>
      <c r="F371" s="7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8"/>
      <c r="R371" s="10"/>
    </row>
    <row r="372" spans="1:18">
      <c r="A372" s="8"/>
      <c r="B372" s="10"/>
      <c r="C372" s="10"/>
      <c r="D372" s="5"/>
      <c r="E372" s="6"/>
      <c r="F372" s="7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8"/>
      <c r="R372" s="10"/>
    </row>
    <row r="373" spans="1:18">
      <c r="A373" s="8"/>
      <c r="B373" s="10"/>
      <c r="C373" s="10"/>
      <c r="D373" s="5"/>
      <c r="E373" s="6"/>
      <c r="F373" s="7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8"/>
      <c r="R373" s="10"/>
    </row>
    <row r="374" spans="1:18">
      <c r="A374" s="8"/>
      <c r="B374" s="10"/>
      <c r="C374" s="10"/>
      <c r="D374" s="5"/>
      <c r="E374" s="6"/>
      <c r="F374" s="7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8"/>
      <c r="R374" s="10"/>
    </row>
    <row r="375" spans="1:18">
      <c r="A375" s="8"/>
      <c r="B375" s="10"/>
      <c r="C375" s="10"/>
      <c r="D375" s="5"/>
      <c r="E375" s="6"/>
      <c r="F375" s="7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8"/>
      <c r="R375" s="10"/>
    </row>
    <row r="376" spans="1:18">
      <c r="A376" s="8"/>
      <c r="B376" s="10"/>
      <c r="C376" s="10"/>
      <c r="D376" s="5"/>
      <c r="E376" s="6"/>
      <c r="F376" s="7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8"/>
      <c r="R376" s="10"/>
    </row>
    <row r="377" spans="1:18">
      <c r="A377" s="8"/>
      <c r="B377" s="10"/>
      <c r="C377" s="10"/>
      <c r="D377" s="5"/>
      <c r="E377" s="6"/>
      <c r="F377" s="7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8"/>
      <c r="R377" s="10"/>
    </row>
    <row r="378" spans="1:18">
      <c r="A378" s="8"/>
      <c r="B378" s="10"/>
      <c r="C378" s="10"/>
      <c r="D378" s="5"/>
      <c r="E378" s="6"/>
      <c r="F378" s="7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8"/>
      <c r="R378" s="10"/>
    </row>
    <row r="379" spans="1:18">
      <c r="A379" s="8"/>
      <c r="B379" s="10"/>
      <c r="C379" s="10"/>
      <c r="D379" s="5"/>
      <c r="E379" s="6"/>
      <c r="F379" s="7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8"/>
      <c r="R379" s="10"/>
    </row>
    <row r="380" spans="1:18">
      <c r="A380" s="8"/>
      <c r="B380" s="10"/>
      <c r="C380" s="10"/>
      <c r="D380" s="5"/>
      <c r="E380" s="6"/>
      <c r="F380" s="7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8"/>
      <c r="R380" s="10"/>
    </row>
    <row r="381" spans="1:18">
      <c r="A381" s="8"/>
      <c r="B381" s="10"/>
      <c r="C381" s="10"/>
      <c r="D381" s="5"/>
      <c r="E381" s="6"/>
      <c r="F381" s="7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8"/>
      <c r="R381" s="10"/>
    </row>
    <row r="382" spans="1:18">
      <c r="A382" s="8"/>
      <c r="B382" s="10"/>
      <c r="C382" s="10"/>
      <c r="D382" s="5"/>
      <c r="E382" s="6"/>
      <c r="F382" s="7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8"/>
      <c r="R382" s="10"/>
    </row>
    <row r="383" spans="1:18">
      <c r="A383" s="8"/>
      <c r="B383" s="10"/>
      <c r="C383" s="10"/>
      <c r="D383" s="5"/>
      <c r="E383" s="6"/>
      <c r="F383" s="7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8"/>
      <c r="R383" s="10"/>
    </row>
    <row r="384" spans="1:18">
      <c r="A384" s="8"/>
      <c r="B384" s="10"/>
      <c r="C384" s="10"/>
      <c r="D384" s="5"/>
      <c r="E384" s="6"/>
      <c r="F384" s="7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8"/>
      <c r="R384" s="10"/>
    </row>
    <row r="385" spans="1:18">
      <c r="A385" s="8"/>
      <c r="B385" s="10"/>
      <c r="C385" s="10"/>
      <c r="D385" s="5"/>
      <c r="E385" s="6"/>
      <c r="F385" s="7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8"/>
      <c r="R385" s="10"/>
    </row>
    <row r="386" spans="1:18">
      <c r="A386" s="8"/>
      <c r="B386" s="10"/>
      <c r="C386" s="10"/>
      <c r="D386" s="5"/>
      <c r="E386" s="6"/>
      <c r="F386" s="7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8"/>
      <c r="R386" s="10"/>
    </row>
    <row r="387" spans="1:18">
      <c r="A387" s="8"/>
      <c r="B387" s="10"/>
      <c r="C387" s="10"/>
      <c r="D387" s="5"/>
      <c r="E387" s="6"/>
      <c r="F387" s="7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8"/>
      <c r="R387" s="10"/>
    </row>
    <row r="388" spans="1:18">
      <c r="A388" s="8"/>
      <c r="B388" s="10"/>
      <c r="C388" s="10"/>
      <c r="D388" s="5"/>
      <c r="E388" s="6"/>
      <c r="F388" s="7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8"/>
      <c r="R388" s="10"/>
    </row>
    <row r="389" spans="1:18">
      <c r="A389" s="8"/>
      <c r="B389" s="10"/>
      <c r="C389" s="10"/>
      <c r="D389" s="5"/>
      <c r="E389" s="6"/>
      <c r="F389" s="7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8"/>
      <c r="R389" s="10"/>
    </row>
    <row r="390" spans="1:18">
      <c r="A390" s="8"/>
      <c r="B390" s="10"/>
      <c r="C390" s="10"/>
      <c r="D390" s="5"/>
      <c r="E390" s="6"/>
      <c r="F390" s="7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8"/>
      <c r="R390" s="10"/>
    </row>
    <row r="391" spans="1:18">
      <c r="A391" s="8"/>
      <c r="B391" s="10"/>
      <c r="C391" s="10"/>
      <c r="D391" s="5"/>
      <c r="E391" s="6"/>
      <c r="F391" s="7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8"/>
      <c r="R391" s="10"/>
    </row>
    <row r="392" spans="1:18">
      <c r="A392" s="8"/>
      <c r="B392" s="10"/>
      <c r="C392" s="10"/>
      <c r="D392" s="5"/>
      <c r="E392" s="6"/>
      <c r="F392" s="7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8"/>
      <c r="R392" s="10"/>
    </row>
    <row r="393" spans="1:18">
      <c r="A393" s="8"/>
      <c r="B393" s="10"/>
      <c r="C393" s="10"/>
      <c r="D393" s="5"/>
      <c r="E393" s="6"/>
      <c r="F393" s="7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8"/>
      <c r="R393" s="10"/>
    </row>
    <row r="394" spans="1:18">
      <c r="A394" s="8"/>
      <c r="B394" s="10"/>
      <c r="C394" s="10"/>
      <c r="D394" s="5"/>
      <c r="E394" s="6"/>
      <c r="F394" s="7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8"/>
      <c r="R394" s="10"/>
    </row>
    <row r="395" spans="1:18">
      <c r="A395" s="8"/>
      <c r="B395" s="10"/>
      <c r="C395" s="10"/>
      <c r="D395" s="5"/>
      <c r="E395" s="6"/>
      <c r="F395" s="7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8"/>
      <c r="R395" s="10"/>
    </row>
    <row r="396" spans="1:18">
      <c r="A396" s="8"/>
      <c r="B396" s="10"/>
      <c r="C396" s="10"/>
      <c r="D396" s="5"/>
      <c r="E396" s="6"/>
      <c r="F396" s="7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8"/>
      <c r="R396" s="10"/>
    </row>
    <row r="397" spans="1:18">
      <c r="A397" s="8"/>
      <c r="B397" s="10"/>
      <c r="C397" s="10"/>
      <c r="D397" s="5"/>
      <c r="E397" s="6"/>
      <c r="F397" s="7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8"/>
      <c r="R397" s="10"/>
    </row>
    <row r="398" spans="1:18">
      <c r="A398" s="8"/>
      <c r="B398" s="10"/>
      <c r="C398" s="10"/>
      <c r="D398" s="5"/>
      <c r="E398" s="6"/>
      <c r="F398" s="7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8"/>
      <c r="R398" s="10"/>
    </row>
    <row r="399" spans="1:18">
      <c r="A399" s="8"/>
      <c r="B399" s="10"/>
      <c r="C399" s="10"/>
      <c r="D399" s="5"/>
      <c r="E399" s="6"/>
      <c r="F399" s="7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8"/>
      <c r="R399" s="10"/>
    </row>
    <row r="400" spans="1:18">
      <c r="A400" s="8"/>
      <c r="B400" s="10"/>
      <c r="C400" s="10"/>
      <c r="D400" s="5"/>
      <c r="E400" s="6"/>
      <c r="F400" s="7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8"/>
      <c r="R400" s="10"/>
    </row>
    <row r="401" spans="1:18">
      <c r="A401" s="8"/>
      <c r="B401" s="10"/>
      <c r="C401" s="10"/>
      <c r="D401" s="5"/>
      <c r="E401" s="6"/>
      <c r="F401" s="7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8"/>
      <c r="R401" s="10"/>
    </row>
    <row r="402" spans="1:18">
      <c r="A402" s="8"/>
      <c r="B402" s="10"/>
      <c r="C402" s="10"/>
      <c r="D402" s="5"/>
      <c r="E402" s="6"/>
      <c r="F402" s="7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8"/>
      <c r="R402" s="10"/>
    </row>
    <row r="403" spans="1:18">
      <c r="A403" s="8"/>
      <c r="B403" s="10"/>
      <c r="C403" s="10"/>
      <c r="D403" s="5"/>
      <c r="E403" s="6"/>
      <c r="F403" s="7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8"/>
      <c r="R403" s="10"/>
    </row>
    <row r="404" spans="1:18">
      <c r="A404" s="8"/>
      <c r="B404" s="10"/>
      <c r="C404" s="10"/>
      <c r="D404" s="5"/>
      <c r="E404" s="6"/>
      <c r="F404" s="7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8"/>
      <c r="R404" s="10"/>
    </row>
    <row r="405" spans="1:18">
      <c r="A405" s="8"/>
      <c r="B405" s="10"/>
      <c r="C405" s="10"/>
      <c r="D405" s="5"/>
      <c r="E405" s="6"/>
      <c r="F405" s="7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8"/>
      <c r="R405" s="10"/>
    </row>
    <row r="406" spans="1:18">
      <c r="A406" s="8"/>
      <c r="B406" s="10"/>
      <c r="C406" s="10"/>
      <c r="D406" s="5"/>
      <c r="E406" s="6"/>
      <c r="F406" s="7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8"/>
      <c r="R406" s="10"/>
    </row>
    <row r="407" spans="1:18">
      <c r="A407" s="8"/>
      <c r="B407" s="10"/>
      <c r="C407" s="10"/>
      <c r="D407" s="5"/>
      <c r="E407" s="6"/>
      <c r="F407" s="7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8"/>
      <c r="R407" s="10"/>
    </row>
    <row r="408" spans="1:18">
      <c r="A408" s="8"/>
      <c r="B408" s="10"/>
      <c r="C408" s="10"/>
      <c r="D408" s="5"/>
      <c r="E408" s="6"/>
      <c r="F408" s="7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8"/>
      <c r="R408" s="10"/>
    </row>
    <row r="409" spans="1:18">
      <c r="A409" s="8"/>
      <c r="B409" s="10"/>
      <c r="C409" s="10"/>
      <c r="D409" s="5"/>
      <c r="E409" s="6"/>
      <c r="F409" s="7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8"/>
      <c r="R409" s="10"/>
    </row>
    <row r="410" spans="1:18">
      <c r="A410" s="8"/>
      <c r="B410" s="10"/>
      <c r="C410" s="10"/>
      <c r="D410" s="5"/>
      <c r="E410" s="6"/>
      <c r="F410" s="7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8"/>
      <c r="R410" s="10"/>
    </row>
    <row r="411" spans="1:18">
      <c r="A411" s="8"/>
      <c r="B411" s="10"/>
      <c r="C411" s="10"/>
      <c r="D411" s="5"/>
      <c r="E411" s="6"/>
      <c r="F411" s="7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8"/>
      <c r="R411" s="10"/>
    </row>
    <row r="412" spans="1:18">
      <c r="A412" s="8"/>
      <c r="B412" s="10"/>
      <c r="C412" s="10"/>
      <c r="D412" s="5"/>
      <c r="E412" s="6"/>
      <c r="F412" s="7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8"/>
      <c r="R412" s="10"/>
    </row>
    <row r="413" spans="1:18">
      <c r="A413" s="8"/>
      <c r="B413" s="10"/>
      <c r="C413" s="10"/>
      <c r="D413" s="5"/>
      <c r="E413" s="6"/>
      <c r="F413" s="7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8"/>
      <c r="R413" s="10"/>
    </row>
    <row r="414" spans="1:18">
      <c r="A414" s="8"/>
      <c r="B414" s="10"/>
      <c r="C414" s="10"/>
      <c r="D414" s="5"/>
      <c r="E414" s="6"/>
      <c r="F414" s="7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8"/>
      <c r="R414" s="10"/>
    </row>
    <row r="415" spans="1:18">
      <c r="A415" s="8"/>
      <c r="B415" s="10"/>
      <c r="C415" s="10"/>
      <c r="D415" s="5"/>
      <c r="E415" s="6"/>
      <c r="F415" s="7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8"/>
      <c r="R415" s="10"/>
    </row>
    <row r="416" spans="1:18">
      <c r="A416" s="8"/>
      <c r="B416" s="10"/>
      <c r="C416" s="10"/>
      <c r="D416" s="5"/>
      <c r="E416" s="6"/>
      <c r="F416" s="7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8"/>
      <c r="R416" s="10"/>
    </row>
    <row r="417" spans="1:18">
      <c r="A417" s="8"/>
      <c r="B417" s="10"/>
      <c r="C417" s="10"/>
      <c r="D417" s="5"/>
      <c r="E417" s="6"/>
      <c r="F417" s="7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8"/>
      <c r="R417" s="10"/>
    </row>
    <row r="418" spans="1:18">
      <c r="A418" s="8"/>
      <c r="B418" s="10"/>
      <c r="C418" s="10"/>
      <c r="D418" s="5"/>
      <c r="E418" s="6"/>
      <c r="F418" s="7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8"/>
      <c r="R418" s="10"/>
    </row>
    <row r="419" spans="1:18">
      <c r="A419" s="8"/>
      <c r="B419" s="10"/>
      <c r="C419" s="10"/>
      <c r="D419" s="5"/>
      <c r="E419" s="6"/>
      <c r="F419" s="7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8"/>
      <c r="R419" s="10"/>
    </row>
    <row r="420" spans="1:18">
      <c r="A420" s="8"/>
      <c r="B420" s="10"/>
      <c r="C420" s="10"/>
      <c r="D420" s="5"/>
      <c r="E420" s="6"/>
      <c r="F420" s="7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8"/>
      <c r="R420" s="10"/>
    </row>
    <row r="421" spans="1:18">
      <c r="A421" s="8"/>
      <c r="B421" s="10"/>
      <c r="C421" s="10"/>
      <c r="D421" s="5"/>
      <c r="E421" s="6"/>
      <c r="F421" s="7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8"/>
      <c r="R421" s="10"/>
    </row>
    <row r="422" spans="1:18">
      <c r="A422" s="8"/>
      <c r="B422" s="10"/>
      <c r="C422" s="10"/>
      <c r="D422" s="5"/>
      <c r="E422" s="6"/>
      <c r="F422" s="7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8"/>
      <c r="R422" s="10"/>
    </row>
    <row r="423" spans="1:18">
      <c r="A423" s="8"/>
      <c r="B423" s="10"/>
      <c r="C423" s="10"/>
      <c r="D423" s="5"/>
      <c r="E423" s="6"/>
      <c r="F423" s="7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8"/>
      <c r="R423" s="10"/>
    </row>
    <row r="424" spans="1:18">
      <c r="A424" s="8"/>
      <c r="B424" s="10"/>
      <c r="C424" s="10"/>
      <c r="D424" s="5"/>
      <c r="E424" s="6"/>
      <c r="F424" s="7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8"/>
      <c r="R424" s="10"/>
    </row>
    <row r="425" spans="1:18">
      <c r="A425" s="8"/>
      <c r="B425" s="10"/>
      <c r="C425" s="10"/>
      <c r="D425" s="5"/>
      <c r="E425" s="6"/>
      <c r="F425" s="7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8"/>
      <c r="R425" s="10"/>
    </row>
    <row r="426" spans="1:18">
      <c r="A426" s="8"/>
      <c r="B426" s="10"/>
      <c r="C426" s="10"/>
      <c r="D426" s="5"/>
      <c r="E426" s="6"/>
      <c r="F426" s="7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8"/>
      <c r="R426" s="10"/>
    </row>
    <row r="427" spans="1:18">
      <c r="A427" s="8"/>
      <c r="B427" s="10"/>
      <c r="C427" s="10"/>
      <c r="D427" s="5"/>
      <c r="E427" s="6"/>
      <c r="F427" s="7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8"/>
      <c r="R427" s="10"/>
    </row>
    <row r="428" spans="1:18">
      <c r="A428" s="8"/>
      <c r="B428" s="10"/>
      <c r="C428" s="10"/>
      <c r="D428" s="5"/>
      <c r="E428" s="6"/>
      <c r="F428" s="7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8"/>
      <c r="R428" s="10"/>
    </row>
    <row r="429" spans="1:18">
      <c r="A429" s="8"/>
      <c r="B429" s="10"/>
      <c r="C429" s="10"/>
      <c r="D429" s="5"/>
      <c r="E429" s="6"/>
      <c r="F429" s="7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8"/>
      <c r="R429" s="10"/>
    </row>
    <row r="430" spans="1:18">
      <c r="A430" s="8"/>
      <c r="B430" s="10"/>
      <c r="C430" s="10"/>
      <c r="D430" s="5"/>
      <c r="E430" s="6"/>
      <c r="F430" s="7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8"/>
      <c r="R430" s="10"/>
    </row>
    <row r="431" spans="1:18">
      <c r="A431" s="8"/>
      <c r="B431" s="10"/>
      <c r="C431" s="10"/>
      <c r="D431" s="5"/>
      <c r="E431" s="6"/>
      <c r="F431" s="7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8"/>
      <c r="R431" s="10"/>
    </row>
    <row r="432" spans="1:18">
      <c r="A432" s="8"/>
      <c r="B432" s="10"/>
      <c r="C432" s="10"/>
      <c r="D432" s="5"/>
      <c r="E432" s="6"/>
      <c r="F432" s="7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8"/>
      <c r="R432" s="10"/>
    </row>
    <row r="433" spans="1:18">
      <c r="A433" s="8"/>
      <c r="B433" s="10"/>
      <c r="C433" s="10"/>
      <c r="D433" s="5"/>
      <c r="E433" s="6"/>
      <c r="F433" s="7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8"/>
      <c r="R433" s="10"/>
    </row>
    <row r="434" spans="1:18">
      <c r="A434" s="8"/>
      <c r="B434" s="10"/>
      <c r="C434" s="10"/>
      <c r="D434" s="5"/>
      <c r="E434" s="6"/>
      <c r="F434" s="7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8"/>
      <c r="R434" s="10"/>
    </row>
    <row r="435" spans="1:18">
      <c r="A435" s="8"/>
      <c r="B435" s="10"/>
      <c r="C435" s="10"/>
      <c r="D435" s="5"/>
      <c r="E435" s="6"/>
      <c r="F435" s="7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8"/>
      <c r="R435" s="10"/>
    </row>
    <row r="436" spans="1:18">
      <c r="A436" s="8"/>
      <c r="B436" s="10"/>
      <c r="C436" s="10"/>
      <c r="D436" s="5"/>
      <c r="E436" s="6"/>
      <c r="F436" s="7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8"/>
      <c r="R436" s="10"/>
    </row>
    <row r="437" spans="1:18">
      <c r="A437" s="8"/>
      <c r="B437" s="10"/>
      <c r="C437" s="10"/>
      <c r="D437" s="5"/>
      <c r="E437" s="6"/>
      <c r="F437" s="7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8"/>
      <c r="R437" s="10"/>
    </row>
    <row r="438" spans="1:18">
      <c r="A438" s="8"/>
      <c r="B438" s="10"/>
      <c r="C438" s="10"/>
      <c r="D438" s="5"/>
      <c r="E438" s="6"/>
      <c r="F438" s="7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8"/>
      <c r="R438" s="10"/>
    </row>
    <row r="439" spans="1:18">
      <c r="A439" s="8"/>
      <c r="B439" s="10"/>
      <c r="C439" s="10"/>
      <c r="D439" s="5"/>
      <c r="E439" s="6"/>
      <c r="F439" s="7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8"/>
      <c r="R439" s="10"/>
    </row>
    <row r="440" spans="1:18">
      <c r="A440" s="8"/>
      <c r="B440" s="10"/>
      <c r="C440" s="10"/>
      <c r="D440" s="5"/>
      <c r="E440" s="6"/>
      <c r="F440" s="7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8"/>
      <c r="R440" s="10"/>
    </row>
    <row r="441" spans="1:18">
      <c r="A441" s="8"/>
      <c r="B441" s="10"/>
      <c r="C441" s="10"/>
      <c r="D441" s="5"/>
      <c r="E441" s="6"/>
      <c r="F441" s="7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8"/>
      <c r="R441" s="10"/>
    </row>
    <row r="442" spans="1:18">
      <c r="A442" s="8"/>
      <c r="B442" s="10"/>
      <c r="C442" s="10"/>
      <c r="D442" s="5"/>
      <c r="E442" s="6"/>
      <c r="F442" s="7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8"/>
      <c r="R442" s="10"/>
    </row>
    <row r="443" spans="1:18">
      <c r="A443" s="8"/>
      <c r="B443" s="10"/>
      <c r="C443" s="10"/>
      <c r="D443" s="5"/>
      <c r="E443" s="6"/>
      <c r="F443" s="7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8"/>
      <c r="R443" s="10"/>
    </row>
    <row r="444" spans="1:18">
      <c r="A444" s="8"/>
      <c r="B444" s="10"/>
      <c r="C444" s="10"/>
      <c r="D444" s="5"/>
      <c r="E444" s="6"/>
      <c r="F444" s="7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8"/>
      <c r="R444" s="10"/>
    </row>
    <row r="445" spans="1:18">
      <c r="A445" s="8"/>
      <c r="B445" s="10"/>
      <c r="C445" s="10"/>
      <c r="D445" s="5"/>
      <c r="E445" s="6"/>
      <c r="F445" s="7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8"/>
      <c r="R445" s="10"/>
    </row>
    <row r="446" spans="1:18">
      <c r="A446" s="8"/>
      <c r="B446" s="10"/>
      <c r="C446" s="10"/>
      <c r="D446" s="5"/>
      <c r="E446" s="6"/>
      <c r="F446" s="7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8"/>
      <c r="R446" s="10"/>
    </row>
    <row r="447" spans="1:18">
      <c r="A447" s="8"/>
      <c r="B447" s="10"/>
      <c r="C447" s="10"/>
      <c r="D447" s="5"/>
      <c r="E447" s="6"/>
      <c r="F447" s="7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8"/>
      <c r="R447" s="10"/>
    </row>
    <row r="448" spans="1:18">
      <c r="A448" s="8"/>
      <c r="B448" s="10"/>
      <c r="C448" s="10"/>
      <c r="D448" s="5"/>
      <c r="E448" s="6"/>
      <c r="F448" s="7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8"/>
      <c r="R448" s="10"/>
    </row>
    <row r="449" spans="1:18">
      <c r="A449" s="8"/>
      <c r="B449" s="10"/>
      <c r="C449" s="10"/>
      <c r="D449" s="5"/>
      <c r="E449" s="6"/>
      <c r="F449" s="7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8"/>
      <c r="R449" s="10"/>
    </row>
    <row r="450" spans="1:18">
      <c r="A450" s="8"/>
      <c r="B450" s="10"/>
      <c r="C450" s="10"/>
      <c r="D450" s="5"/>
      <c r="E450" s="6"/>
      <c r="F450" s="7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8"/>
      <c r="R450" s="10"/>
    </row>
    <row r="451" spans="1:18">
      <c r="A451" s="8"/>
      <c r="B451" s="10"/>
      <c r="C451" s="10"/>
      <c r="D451" s="5"/>
      <c r="E451" s="6"/>
      <c r="F451" s="7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8"/>
      <c r="R451" s="10"/>
    </row>
    <row r="452" spans="1:18">
      <c r="A452" s="8"/>
      <c r="B452" s="10"/>
      <c r="C452" s="10"/>
      <c r="D452" s="5"/>
      <c r="E452" s="6"/>
      <c r="F452" s="7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8"/>
      <c r="R452" s="10"/>
    </row>
    <row r="453" spans="1:18">
      <c r="A453" s="8"/>
      <c r="B453" s="10"/>
      <c r="C453" s="10"/>
      <c r="D453" s="5"/>
      <c r="E453" s="6"/>
      <c r="F453" s="7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8"/>
      <c r="R453" s="10"/>
    </row>
    <row r="454" spans="1:18">
      <c r="A454" s="8"/>
      <c r="B454" s="10"/>
      <c r="C454" s="10"/>
      <c r="D454" s="5"/>
      <c r="E454" s="6"/>
      <c r="F454" s="7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8"/>
      <c r="R454" s="10"/>
    </row>
    <row r="455" spans="1:18">
      <c r="A455" s="8"/>
      <c r="B455" s="10"/>
      <c r="C455" s="10"/>
      <c r="D455" s="5"/>
      <c r="E455" s="6"/>
      <c r="F455" s="7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8"/>
      <c r="R455" s="10"/>
    </row>
    <row r="456" spans="1:18">
      <c r="A456" s="8"/>
      <c r="B456" s="10"/>
      <c r="C456" s="10"/>
      <c r="D456" s="5"/>
      <c r="E456" s="6"/>
      <c r="F456" s="7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8"/>
      <c r="R456" s="10"/>
    </row>
    <row r="457" spans="1:18">
      <c r="A457" s="8"/>
      <c r="B457" s="10"/>
      <c r="C457" s="10"/>
      <c r="D457" s="5"/>
      <c r="E457" s="6"/>
      <c r="F457" s="7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8"/>
      <c r="R457" s="10"/>
    </row>
    <row r="458" spans="1:18">
      <c r="A458" s="8"/>
      <c r="B458" s="10"/>
      <c r="C458" s="10"/>
      <c r="D458" s="5"/>
      <c r="E458" s="6"/>
      <c r="F458" s="7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8"/>
      <c r="R458" s="10"/>
    </row>
    <row r="459" spans="1:18">
      <c r="A459" s="8"/>
      <c r="B459" s="10"/>
      <c r="C459" s="10"/>
      <c r="D459" s="5"/>
      <c r="E459" s="6"/>
      <c r="F459" s="7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8"/>
      <c r="R459" s="10"/>
    </row>
    <row r="460" spans="1:18">
      <c r="A460" s="8"/>
      <c r="B460" s="10"/>
      <c r="C460" s="10"/>
      <c r="D460" s="5"/>
      <c r="E460" s="6"/>
      <c r="F460" s="7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8"/>
      <c r="R460" s="10"/>
    </row>
    <row r="461" spans="1:18">
      <c r="A461" s="8"/>
      <c r="B461" s="10"/>
      <c r="C461" s="10"/>
      <c r="D461" s="5"/>
      <c r="E461" s="6"/>
      <c r="F461" s="7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8"/>
      <c r="R461" s="10"/>
    </row>
    <row r="462" spans="1:18">
      <c r="A462" s="8"/>
      <c r="B462" s="10"/>
      <c r="C462" s="10"/>
      <c r="D462" s="5"/>
      <c r="E462" s="6"/>
      <c r="F462" s="7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8"/>
      <c r="R462" s="10"/>
    </row>
    <row r="463" spans="1:18">
      <c r="A463" s="8"/>
      <c r="B463" s="10"/>
      <c r="C463" s="10"/>
      <c r="D463" s="5"/>
      <c r="E463" s="6"/>
      <c r="F463" s="7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8"/>
      <c r="R463" s="10"/>
    </row>
    <row r="464" spans="1:18">
      <c r="A464" s="8"/>
      <c r="B464" s="10"/>
      <c r="C464" s="10"/>
      <c r="D464" s="5"/>
      <c r="E464" s="6"/>
      <c r="F464" s="7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8"/>
      <c r="R464" s="10"/>
    </row>
    <row r="465" spans="1:18">
      <c r="A465" s="8"/>
      <c r="B465" s="10"/>
      <c r="C465" s="10"/>
      <c r="D465" s="5"/>
      <c r="E465" s="6"/>
      <c r="F465" s="7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8"/>
      <c r="R465" s="10"/>
    </row>
    <row r="466" spans="1:18">
      <c r="A466" s="8"/>
      <c r="B466" s="10"/>
      <c r="C466" s="10"/>
      <c r="D466" s="5"/>
      <c r="E466" s="6"/>
      <c r="F466" s="7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8"/>
      <c r="R466" s="10"/>
    </row>
    <row r="467" spans="1:18">
      <c r="A467" s="8"/>
      <c r="B467" s="10"/>
      <c r="C467" s="10"/>
      <c r="D467" s="5"/>
      <c r="E467" s="6"/>
      <c r="F467" s="7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8"/>
      <c r="R467" s="10"/>
    </row>
    <row r="468" spans="1:18">
      <c r="A468" s="8"/>
      <c r="B468" s="10"/>
      <c r="C468" s="10"/>
      <c r="D468" s="5"/>
      <c r="E468" s="6"/>
      <c r="F468" s="7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8"/>
      <c r="R468" s="10"/>
    </row>
    <row r="469" spans="1:18">
      <c r="A469" s="8"/>
      <c r="B469" s="10"/>
      <c r="C469" s="10"/>
      <c r="D469" s="5"/>
      <c r="E469" s="6"/>
      <c r="F469" s="7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8"/>
      <c r="R469" s="10"/>
    </row>
    <row r="470" spans="1:18">
      <c r="A470" s="8"/>
      <c r="B470" s="10"/>
      <c r="C470" s="10"/>
      <c r="D470" s="5"/>
      <c r="E470" s="6"/>
      <c r="F470" s="7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8"/>
      <c r="R470" s="10"/>
    </row>
    <row r="471" spans="1:18">
      <c r="A471" s="8"/>
      <c r="B471" s="10"/>
      <c r="C471" s="10"/>
      <c r="D471" s="5"/>
      <c r="E471" s="6"/>
      <c r="F471" s="7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8"/>
      <c r="R471" s="10"/>
    </row>
    <row r="472" spans="1:18">
      <c r="A472" s="8"/>
      <c r="B472" s="10"/>
      <c r="C472" s="10"/>
      <c r="D472" s="5"/>
      <c r="E472" s="6"/>
      <c r="F472" s="7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8"/>
      <c r="R472" s="10"/>
    </row>
    <row r="473" spans="1:18">
      <c r="A473" s="8"/>
      <c r="B473" s="10"/>
      <c r="C473" s="10"/>
      <c r="D473" s="5"/>
      <c r="E473" s="6"/>
      <c r="F473" s="7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8"/>
      <c r="R473" s="10"/>
    </row>
    <row r="474" spans="1:18">
      <c r="A474" s="8"/>
      <c r="B474" s="10"/>
      <c r="C474" s="10"/>
      <c r="D474" s="5"/>
      <c r="E474" s="6"/>
      <c r="F474" s="7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8"/>
      <c r="R474" s="10"/>
    </row>
    <row r="475" spans="1:18">
      <c r="A475" s="8"/>
      <c r="B475" s="10"/>
      <c r="C475" s="10"/>
      <c r="D475" s="5"/>
      <c r="E475" s="6"/>
      <c r="F475" s="7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8"/>
      <c r="R475" s="10"/>
    </row>
    <row r="476" spans="1:18">
      <c r="A476" s="8"/>
      <c r="B476" s="10"/>
      <c r="C476" s="10"/>
      <c r="D476" s="5"/>
      <c r="E476" s="6"/>
      <c r="F476" s="7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8"/>
      <c r="R476" s="10"/>
    </row>
    <row r="477" spans="1:18">
      <c r="A477" s="8"/>
      <c r="B477" s="10"/>
      <c r="C477" s="10"/>
      <c r="D477" s="5"/>
      <c r="E477" s="6"/>
      <c r="F477" s="7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8"/>
      <c r="R477" s="10"/>
    </row>
    <row r="478" spans="1:18">
      <c r="A478" s="8"/>
      <c r="B478" s="10"/>
      <c r="C478" s="10"/>
      <c r="D478" s="5"/>
      <c r="E478" s="6"/>
      <c r="F478" s="7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8"/>
      <c r="R478" s="10"/>
    </row>
    <row r="479" spans="1:18">
      <c r="A479" s="8"/>
      <c r="B479" s="10"/>
      <c r="C479" s="10"/>
      <c r="D479" s="5"/>
      <c r="E479" s="6"/>
      <c r="F479" s="7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8"/>
      <c r="R479" s="10"/>
    </row>
    <row r="480" spans="1:18">
      <c r="A480" s="8"/>
      <c r="B480" s="10"/>
      <c r="C480" s="10"/>
      <c r="D480" s="5"/>
      <c r="E480" s="6"/>
      <c r="F480" s="7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8"/>
      <c r="R480" s="10"/>
    </row>
    <row r="481" spans="1:18">
      <c r="A481" s="8"/>
      <c r="B481" s="10"/>
      <c r="C481" s="10"/>
      <c r="D481" s="5"/>
      <c r="E481" s="6"/>
      <c r="F481" s="7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8"/>
      <c r="R481" s="10"/>
    </row>
    <row r="482" spans="1:18">
      <c r="A482" s="8"/>
      <c r="B482" s="10"/>
      <c r="C482" s="10"/>
      <c r="D482" s="5"/>
      <c r="E482" s="6"/>
      <c r="F482" s="7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8"/>
      <c r="R482" s="10"/>
    </row>
    <row r="483" spans="1:18">
      <c r="A483" s="8"/>
      <c r="B483" s="10"/>
      <c r="C483" s="10"/>
      <c r="D483" s="5"/>
      <c r="E483" s="6"/>
      <c r="F483" s="7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8"/>
      <c r="R483" s="10"/>
    </row>
    <row r="484" spans="1:18">
      <c r="A484" s="8"/>
      <c r="B484" s="10"/>
      <c r="C484" s="10"/>
      <c r="D484" s="5"/>
      <c r="E484" s="6"/>
      <c r="F484" s="7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8"/>
      <c r="R484" s="10"/>
    </row>
    <row r="485" spans="1:18">
      <c r="A485" s="8"/>
      <c r="B485" s="10"/>
      <c r="C485" s="10"/>
      <c r="D485" s="5"/>
      <c r="E485" s="6"/>
      <c r="F485" s="7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8"/>
      <c r="R485" s="10"/>
    </row>
    <row r="486" spans="1:18">
      <c r="A486" s="8"/>
      <c r="B486" s="10"/>
      <c r="C486" s="10"/>
      <c r="D486" s="5"/>
      <c r="E486" s="6"/>
      <c r="F486" s="7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8"/>
      <c r="R486" s="10"/>
    </row>
    <row r="487" spans="1:18">
      <c r="A487" s="8"/>
      <c r="B487" s="10"/>
      <c r="C487" s="10"/>
      <c r="D487" s="5"/>
      <c r="E487" s="6"/>
      <c r="F487" s="7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8"/>
      <c r="R487" s="10"/>
    </row>
    <row r="488" spans="1:18">
      <c r="A488" s="8"/>
      <c r="B488" s="10"/>
      <c r="C488" s="10"/>
      <c r="D488" s="5"/>
      <c r="E488" s="6"/>
      <c r="F488" s="7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8"/>
      <c r="R488" s="10"/>
    </row>
    <row r="489" spans="1:18">
      <c r="A489" s="8"/>
      <c r="B489" s="10"/>
      <c r="C489" s="10"/>
      <c r="D489" s="5"/>
      <c r="E489" s="6"/>
      <c r="F489" s="7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8"/>
      <c r="R489" s="10"/>
    </row>
    <row r="490" spans="1:18">
      <c r="A490" s="8"/>
      <c r="B490" s="10"/>
      <c r="C490" s="10"/>
      <c r="D490" s="5"/>
      <c r="E490" s="6"/>
      <c r="F490" s="7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8"/>
      <c r="R490" s="10"/>
    </row>
    <row r="491" spans="1:18">
      <c r="A491" s="8"/>
      <c r="B491" s="10"/>
      <c r="C491" s="10"/>
      <c r="D491" s="5"/>
      <c r="E491" s="6"/>
      <c r="F491" s="7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8"/>
      <c r="R491" s="10"/>
    </row>
    <row r="492" spans="1:18">
      <c r="A492" s="8"/>
      <c r="B492" s="10"/>
      <c r="C492" s="10"/>
      <c r="D492" s="5"/>
      <c r="E492" s="6"/>
      <c r="F492" s="7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8"/>
      <c r="R492" s="10"/>
    </row>
    <row r="493" spans="1:18">
      <c r="A493" s="8"/>
      <c r="B493" s="10"/>
      <c r="C493" s="10"/>
      <c r="D493" s="5"/>
      <c r="E493" s="6"/>
      <c r="F493" s="7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8"/>
      <c r="R493" s="10"/>
    </row>
    <row r="494" spans="1:18">
      <c r="A494" s="8"/>
      <c r="B494" s="10"/>
      <c r="C494" s="10"/>
      <c r="D494" s="5"/>
      <c r="E494" s="6"/>
      <c r="F494" s="7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8"/>
      <c r="R494" s="10"/>
    </row>
    <row r="495" spans="1:18">
      <c r="A495" s="8"/>
      <c r="B495" s="10"/>
      <c r="C495" s="10"/>
      <c r="D495" s="5"/>
      <c r="E495" s="6"/>
      <c r="F495" s="7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8"/>
      <c r="R495" s="10"/>
    </row>
    <row r="496" spans="1:18">
      <c r="A496" s="8"/>
      <c r="B496" s="10"/>
      <c r="C496" s="10"/>
      <c r="D496" s="5"/>
      <c r="E496" s="6"/>
      <c r="F496" s="7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8"/>
      <c r="R496" s="10"/>
    </row>
    <row r="497" spans="1:18">
      <c r="A497" s="8"/>
      <c r="B497" s="10"/>
      <c r="C497" s="10"/>
      <c r="D497" s="5"/>
      <c r="E497" s="6"/>
      <c r="F497" s="7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8"/>
      <c r="R497" s="10"/>
    </row>
    <row r="498" spans="1:18">
      <c r="A498" s="8"/>
      <c r="B498" s="10"/>
      <c r="C498" s="10"/>
      <c r="D498" s="5"/>
      <c r="E498" s="6"/>
      <c r="F498" s="7"/>
      <c r="G498" s="7"/>
      <c r="H498" s="10"/>
      <c r="I498" s="10"/>
      <c r="J498" s="10"/>
      <c r="K498" s="10"/>
      <c r="L498" s="10"/>
      <c r="M498" s="10"/>
      <c r="N498" s="10"/>
      <c r="O498" s="10"/>
      <c r="P498" s="10"/>
      <c r="Q498" s="8"/>
      <c r="R498" s="10"/>
    </row>
    <row r="499" spans="1:18">
      <c r="A499" s="8"/>
      <c r="B499" s="10"/>
      <c r="C499" s="10"/>
      <c r="D499" s="5"/>
      <c r="E499" s="6"/>
      <c r="F499" s="7"/>
      <c r="G499" s="7"/>
      <c r="H499" s="10"/>
      <c r="I499" s="10"/>
      <c r="J499" s="10"/>
      <c r="K499" s="10"/>
      <c r="L499" s="10"/>
      <c r="M499" s="10"/>
      <c r="N499" s="10"/>
      <c r="O499" s="10"/>
      <c r="P499" s="10"/>
      <c r="Q499" s="8"/>
      <c r="R499" s="10"/>
    </row>
    <row r="500" spans="1:18">
      <c r="A500" s="8"/>
      <c r="B500" s="10"/>
      <c r="C500" s="10"/>
      <c r="D500" s="5"/>
      <c r="E500" s="6"/>
      <c r="F500" s="7"/>
      <c r="G500" s="7"/>
      <c r="H500" s="10"/>
      <c r="I500" s="10"/>
      <c r="J500" s="10"/>
      <c r="K500" s="10"/>
      <c r="L500" s="10"/>
      <c r="M500" s="10"/>
      <c r="N500" s="10"/>
      <c r="O500" s="10"/>
      <c r="P500" s="10"/>
      <c r="Q500" s="8"/>
      <c r="R500" s="10"/>
    </row>
  </sheetData>
  <dataValidations count="6">
    <dataValidation type="list" sqref="H2:H500">
      <formula1>"Нет,Да"</formula1>
    </dataValidation>
    <dataValidation type="list" sqref="I2:I500">
      <formula1>"Нет,Да"</formula1>
    </dataValidation>
    <dataValidation type="list" sqref="J2:J500">
      <formula1>"Нет,Да"</formula1>
    </dataValidation>
    <dataValidation type="list" sqref="K2:K500">
      <formula1>"Нет,Да"</formula1>
    </dataValidation>
    <dataValidation type="list" sqref="L2:L500">
      <formula1>"Нет,Да"</formula1>
    </dataValidation>
    <dataValidation type="list" sqref="M2:M500">
      <formula1>"Нет,Да"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0"/>
  <sheetViews>
    <sheetView workbookViewId="0">
      <selection activeCell="B6" sqref="B6"/>
    </sheetView>
  </sheetViews>
  <sheetFormatPr defaultRowHeight="14.25"/>
  <cols>
    <col min="1" max="1" width="14" style="9" customWidth="1"/>
    <col min="2" max="2" width="16" style="9" customWidth="1"/>
    <col min="3" max="3" width="30" customWidth="1"/>
    <col min="4" max="4" width="12" style="9" customWidth="1"/>
    <col min="5" max="7" width="18" style="9" customWidth="1"/>
    <col min="8" max="8" width="12" style="9" customWidth="1"/>
    <col min="9" max="11" width="22" style="9" customWidth="1"/>
    <col min="12" max="12" width="11" style="9" customWidth="1"/>
    <col min="13" max="13" width="16" style="9" customWidth="1"/>
    <col min="14" max="15" width="18" style="9" customWidth="1"/>
    <col min="16" max="16" width="15" style="9" customWidth="1"/>
  </cols>
  <sheetData>
    <row r="1" spans="1:16" ht="36" customHeight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12</v>
      </c>
      <c r="M1" s="2" t="s">
        <v>13</v>
      </c>
      <c r="N1" s="2" t="s">
        <v>14</v>
      </c>
      <c r="O1" s="2" t="s">
        <v>15</v>
      </c>
      <c r="P1" s="3" t="s">
        <v>16</v>
      </c>
    </row>
    <row r="2" spans="1:16">
      <c r="A2" s="10" t="str">
        <f>IF(Инвентаризация!C2="","",Инвентаризация!B2)</f>
        <v>Brembo</v>
      </c>
      <c r="B2" s="10" t="str">
        <f>IF(Инвентаризация!C2="","",Инвентаризация!C2)</f>
        <v>P85083</v>
      </c>
      <c r="C2" s="5" t="str">
        <f>IF(Инвентаризация!C2="","",Инвентаризация!D2)</f>
        <v>Колодки тормозные задние</v>
      </c>
      <c r="D2" s="11">
        <f>IF(Инвентаризация!C2="","",Инвентаризация!E2)</f>
        <v>1</v>
      </c>
      <c r="E2" s="12">
        <f>IF(Инвентаризация!C2="","",Инвентаризация!F2)</f>
        <v>0</v>
      </c>
      <c r="F2" s="12">
        <f>IF(Инвентаризация!C2="","",Инвентаризация!G2)</f>
        <v>14000</v>
      </c>
      <c r="G2" s="12">
        <f t="shared" ref="G2:G65" si="0">IF(OR(E2="",F2=""),"",F2-E2)</f>
        <v>14000</v>
      </c>
      <c r="H2" s="13">
        <f t="shared" ref="H2:H65" si="1">IFERROR(G2/F2,"")</f>
        <v>1</v>
      </c>
      <c r="I2" s="12">
        <f t="shared" ref="I2:I65" si="2">IF(OR(D2="",E2=""),"",D2*E2)</f>
        <v>0</v>
      </c>
      <c r="J2" s="12">
        <f t="shared" ref="J2:J65" si="3">IF(OR(D2="",F2=""),"",D2*F2)</f>
        <v>14000</v>
      </c>
      <c r="K2" s="12">
        <f t="shared" ref="K2:K65" si="4">IF(OR(D2="",G2=""),"",D2*G2)</f>
        <v>14000</v>
      </c>
      <c r="L2" s="10" t="str">
        <f>IF(Инвентаризация!C2="","",Инвентаризация!M2)</f>
        <v>Да</v>
      </c>
      <c r="M2" s="10">
        <f>IF(Инвентаризация!C2="","",Инвентаризация!N2)</f>
        <v>172835238</v>
      </c>
      <c r="N2" s="10">
        <f>IF(Инвентаризация!C2="","",Инвентаризация!O2)</f>
        <v>0</v>
      </c>
      <c r="O2" s="10" t="str">
        <f>IF(Инвентаризация!C2="","",Инвентаризация!P2)</f>
        <v>Leopart</v>
      </c>
      <c r="P2" s="8">
        <f>IF(Инвентаризация!C2="","",Инвентаризация!Q2)</f>
        <v>46236</v>
      </c>
    </row>
    <row r="3" spans="1:16" ht="28.5">
      <c r="A3" s="10" t="str">
        <f>IF(Инвентаризация!C3="","",Инвентаризация!B3)</f>
        <v>MK KASHIYAMA</v>
      </c>
      <c r="B3" s="10" t="str">
        <f>IF(Инвентаризация!C3="","",Инвентаризация!C3)</f>
        <v>D3132H</v>
      </c>
      <c r="C3" s="5" t="str">
        <f>IF(Инвентаризация!C3="","",Инвентаризация!D3)</f>
        <v>Колодки тормозные задние</v>
      </c>
      <c r="D3" s="11">
        <f>IF(Инвентаризация!C3="","",Инвентаризация!E3)</f>
        <v>1</v>
      </c>
      <c r="E3" s="12">
        <f>IF(Инвентаризация!C3="","",Инвентаризация!F3)</f>
        <v>0</v>
      </c>
      <c r="F3" s="12">
        <f>IF(Инвентаризация!C3="","",Инвентаризация!G3)</f>
        <v>8000</v>
      </c>
      <c r="G3" s="12">
        <f t="shared" si="0"/>
        <v>8000</v>
      </c>
      <c r="H3" s="13">
        <f t="shared" si="1"/>
        <v>1</v>
      </c>
      <c r="I3" s="12">
        <f t="shared" si="2"/>
        <v>0</v>
      </c>
      <c r="J3" s="12">
        <f t="shared" si="3"/>
        <v>8000</v>
      </c>
      <c r="K3" s="12">
        <f t="shared" si="4"/>
        <v>8000</v>
      </c>
      <c r="L3" s="10" t="str">
        <f>IF(Инвентаризация!C3="","",Инвентаризация!M3)</f>
        <v>Да</v>
      </c>
      <c r="M3" s="10">
        <f>IF(Инвентаризация!C3="","",Инвентаризация!N3)</f>
        <v>172843950</v>
      </c>
      <c r="N3" s="10">
        <f>IF(Инвентаризация!C3="","",Инвентаризация!O3)</f>
        <v>0</v>
      </c>
      <c r="O3" s="10" t="str">
        <f>IF(Инвентаризация!C3="","",Инвентаризация!P3)</f>
        <v>ARMTEK</v>
      </c>
      <c r="P3" s="8">
        <f>IF(Инвентаризация!C3="","",Инвентаризация!Q3)</f>
        <v>46236</v>
      </c>
    </row>
    <row r="4" spans="1:16" ht="28.5">
      <c r="A4" s="10" t="str">
        <f>IF(Инвентаризация!C4="","",Инвентаризация!B4)</f>
        <v>MK KASHIYAMA</v>
      </c>
      <c r="B4" s="10" t="str">
        <f>IF(Инвентаризация!C4="","",Инвентаризация!C4)</f>
        <v>D11173MH</v>
      </c>
      <c r="C4" s="5" t="str">
        <f>IF(Инвентаризация!C4="","",Инвентаризация!D4)</f>
        <v>Колодки тормозные передние</v>
      </c>
      <c r="D4" s="11">
        <f>IF(Инвентаризация!C4="","",Инвентаризация!E4)</f>
        <v>2</v>
      </c>
      <c r="E4" s="12">
        <f>IF(Инвентаризация!C4="","",Инвентаризация!F4)</f>
        <v>0</v>
      </c>
      <c r="F4" s="12">
        <f>IF(Инвентаризация!C4="","",Инвентаризация!G4)</f>
        <v>12000</v>
      </c>
      <c r="G4" s="12">
        <f t="shared" si="0"/>
        <v>12000</v>
      </c>
      <c r="H4" s="13">
        <f t="shared" si="1"/>
        <v>1</v>
      </c>
      <c r="I4" s="12">
        <f t="shared" si="2"/>
        <v>0</v>
      </c>
      <c r="J4" s="12">
        <f t="shared" si="3"/>
        <v>24000</v>
      </c>
      <c r="K4" s="12">
        <f t="shared" si="4"/>
        <v>24000</v>
      </c>
      <c r="L4" s="10" t="str">
        <f>IF(Инвентаризация!C4="","",Инвентаризация!M4)</f>
        <v>Да</v>
      </c>
      <c r="M4" s="10">
        <f>IF(Инвентаризация!C4="","",Инвентаризация!N4)</f>
        <v>172870174</v>
      </c>
      <c r="N4" s="10">
        <f>IF(Инвентаризация!C4="","",Инвентаризация!O4)</f>
        <v>0</v>
      </c>
      <c r="O4" s="10">
        <f>IF(Инвентаризация!C4="","",Инвентаризация!P4)</f>
        <v>0</v>
      </c>
      <c r="P4" s="8">
        <f>IF(Инвентаризация!C4="","",Инвентаризация!Q4)</f>
        <v>46237</v>
      </c>
    </row>
    <row r="5" spans="1:16" ht="28.5">
      <c r="A5" s="10" t="str">
        <f>IF(Инвентаризация!C5="","",Инвентаризация!B5)</f>
        <v>MK KASHIYAMA</v>
      </c>
      <c r="B5" s="10" t="str">
        <f>IF(Инвентаризация!C5="","",Инвентаризация!C5)</f>
        <v>D1231MH</v>
      </c>
      <c r="C5" s="5" t="str">
        <f>IF(Инвентаризация!C5="","",Инвентаризация!D5)</f>
        <v>Колодки тормозные передние</v>
      </c>
      <c r="D5" s="11">
        <f>IF(Инвентаризация!C5="","",Инвентаризация!E5)</f>
        <v>1</v>
      </c>
      <c r="E5" s="12">
        <f>IF(Инвентаризация!C5="","",Инвентаризация!F5)</f>
        <v>0</v>
      </c>
      <c r="F5" s="12">
        <f>IF(Инвентаризация!C5="","",Инвентаризация!G5)</f>
        <v>12000</v>
      </c>
      <c r="G5" s="12">
        <f t="shared" si="0"/>
        <v>12000</v>
      </c>
      <c r="H5" s="13">
        <f t="shared" si="1"/>
        <v>1</v>
      </c>
      <c r="I5" s="12">
        <f t="shared" si="2"/>
        <v>0</v>
      </c>
      <c r="J5" s="12">
        <f t="shared" si="3"/>
        <v>12000</v>
      </c>
      <c r="K5" s="12">
        <f t="shared" si="4"/>
        <v>12000</v>
      </c>
      <c r="L5" s="10" t="str">
        <f>IF(Инвентаризация!C5="","",Инвентаризация!M5)</f>
        <v>Да</v>
      </c>
      <c r="M5" s="10">
        <f>IF(Инвентаризация!C5="","",Инвентаризация!N5)</f>
        <v>172879327</v>
      </c>
      <c r="N5" s="10">
        <f>IF(Инвентаризация!C5="","",Инвентаризация!O5)</f>
        <v>0</v>
      </c>
      <c r="O5" s="10" t="str">
        <f>IF(Инвентаризация!C5="","",Инвентаризация!P5)</f>
        <v>ARMTEK</v>
      </c>
      <c r="P5" s="8">
        <f>IF(Инвентаризация!C5="","",Инвентаризация!Q5)</f>
        <v>46237</v>
      </c>
    </row>
    <row r="6" spans="1:16" ht="28.5">
      <c r="A6" s="10" t="str">
        <f>IF(Инвентаризация!C6="","",Инвентаризация!B6)</f>
        <v>MK KASHIYAMA</v>
      </c>
      <c r="B6" s="10" t="str">
        <f>IF(Инвентаризация!C6="","",Инвентаризация!C6)</f>
        <v>D11115MH</v>
      </c>
      <c r="C6" s="5" t="str">
        <f>IF(Инвентаризация!C6="","",Инвентаризация!D6)</f>
        <v>Колодки тормозные передние</v>
      </c>
      <c r="D6" s="11">
        <f>IF(Инвентаризация!C6="","",Инвентаризация!E6)</f>
        <v>1</v>
      </c>
      <c r="E6" s="12">
        <f>IF(Инвентаризация!C6="","",Инвентаризация!F6)</f>
        <v>0</v>
      </c>
      <c r="F6" s="12">
        <f>IF(Инвентаризация!C6="","",Инвентаризация!G6)</f>
        <v>11000</v>
      </c>
      <c r="G6" s="12">
        <f t="shared" si="0"/>
        <v>11000</v>
      </c>
      <c r="H6" s="13">
        <f t="shared" si="1"/>
        <v>1</v>
      </c>
      <c r="I6" s="12">
        <f t="shared" si="2"/>
        <v>0</v>
      </c>
      <c r="J6" s="12">
        <f t="shared" si="3"/>
        <v>11000</v>
      </c>
      <c r="K6" s="12">
        <f t="shared" si="4"/>
        <v>11000</v>
      </c>
      <c r="L6" s="10" t="str">
        <f>IF(Инвентаризация!C6="","",Инвентаризация!M6)</f>
        <v>Да</v>
      </c>
      <c r="M6" s="10">
        <f>IF(Инвентаризация!C6="","",Инвентаризация!N6)</f>
        <v>172886515</v>
      </c>
      <c r="N6" s="10">
        <f>IF(Инвентаризация!C6="","",Инвентаризация!O6)</f>
        <v>0</v>
      </c>
      <c r="O6" s="10">
        <f>IF(Инвентаризация!C6="","",Инвентаризация!P6)</f>
        <v>0</v>
      </c>
      <c r="P6" s="8">
        <f>IF(Инвентаризация!C6="","",Инвентаризация!Q6)</f>
        <v>46237</v>
      </c>
    </row>
    <row r="7" spans="1:16" ht="28.5">
      <c r="A7" s="10" t="str">
        <f>IF(Инвентаризация!C7="","",Инвентаризация!B7)</f>
        <v>MK KASHIYAMA</v>
      </c>
      <c r="B7" s="10" t="str">
        <f>IF(Инвентаризация!C7="","",Инвентаризация!C7)</f>
        <v>D6108H</v>
      </c>
      <c r="C7" s="5" t="str">
        <f>IF(Инвентаризация!C7="","",Инвентаризация!D7)</f>
        <v>Колодки тормозные передние</v>
      </c>
      <c r="D7" s="11">
        <f>IF(Инвентаризация!C7="","",Инвентаризация!E7)</f>
        <v>1</v>
      </c>
      <c r="E7" s="12">
        <f>IF(Инвентаризация!C7="","",Инвентаризация!F7)</f>
        <v>0</v>
      </c>
      <c r="F7" s="12">
        <f>IF(Инвентаризация!C7="","",Инвентаризация!G7)</f>
        <v>6000</v>
      </c>
      <c r="G7" s="12">
        <f t="shared" si="0"/>
        <v>6000</v>
      </c>
      <c r="H7" s="13">
        <f t="shared" si="1"/>
        <v>1</v>
      </c>
      <c r="I7" s="12">
        <f t="shared" si="2"/>
        <v>0</v>
      </c>
      <c r="J7" s="12">
        <f t="shared" si="3"/>
        <v>6000</v>
      </c>
      <c r="K7" s="12">
        <f t="shared" si="4"/>
        <v>6000</v>
      </c>
      <c r="L7" s="10" t="str">
        <f>IF(Инвентаризация!C7="","",Инвентаризация!M7)</f>
        <v>Да</v>
      </c>
      <c r="M7" s="10">
        <f>IF(Инвентаризация!C7="","",Инвентаризация!N7)</f>
        <v>172903965</v>
      </c>
      <c r="N7" s="10">
        <f>IF(Инвентаризация!C7="","",Инвентаризация!O7)</f>
        <v>0</v>
      </c>
      <c r="O7" s="10" t="str">
        <f>IF(Инвентаризация!C7="","",Инвентаризация!P7)</f>
        <v>ARMTEK</v>
      </c>
      <c r="P7" s="8">
        <f>IF(Инвентаризация!C7="","",Инвентаризация!Q7)</f>
        <v>46237</v>
      </c>
    </row>
    <row r="8" spans="1:16" ht="28.5">
      <c r="A8" s="10" t="str">
        <f>IF(Инвентаризация!C8="","",Инвентаризация!B8)</f>
        <v>MK KASHIYAMA</v>
      </c>
      <c r="B8" s="10" t="str">
        <f>IF(Инвентаризация!C8="","",Инвентаризация!C8)</f>
        <v>D2082MH</v>
      </c>
      <c r="C8" s="5" t="str">
        <f>IF(Инвентаризация!C8="","",Инвентаризация!D8)</f>
        <v>Колодки тормозные передние</v>
      </c>
      <c r="D8" s="11">
        <f>IF(Инвентаризация!C8="","",Инвентаризация!E8)</f>
        <v>1</v>
      </c>
      <c r="E8" s="12">
        <f>IF(Инвентаризация!C8="","",Инвентаризация!F8)</f>
        <v>0</v>
      </c>
      <c r="F8" s="12">
        <f>IF(Инвентаризация!C8="","",Инвентаризация!G8)</f>
        <v>10000</v>
      </c>
      <c r="G8" s="12">
        <f t="shared" si="0"/>
        <v>10000</v>
      </c>
      <c r="H8" s="13">
        <f t="shared" si="1"/>
        <v>1</v>
      </c>
      <c r="I8" s="12">
        <f t="shared" si="2"/>
        <v>0</v>
      </c>
      <c r="J8" s="12">
        <f t="shared" si="3"/>
        <v>10000</v>
      </c>
      <c r="K8" s="12">
        <f t="shared" si="4"/>
        <v>10000</v>
      </c>
      <c r="L8" s="10" t="str">
        <f>IF(Инвентаризация!C8="","",Инвентаризация!M8)</f>
        <v>Да</v>
      </c>
      <c r="M8" s="10">
        <f>IF(Инвентаризация!C8="","",Инвентаризация!N8)</f>
        <v>172985889</v>
      </c>
      <c r="N8" s="10">
        <f>IF(Инвентаризация!C8="","",Инвентаризация!O8)</f>
        <v>0</v>
      </c>
      <c r="O8" s="10">
        <f>IF(Инвентаризация!C8="","",Инвентаризация!P8)</f>
        <v>0</v>
      </c>
      <c r="P8" s="8">
        <f>IF(Инвентаризация!C8="","",Инвентаризация!Q8)</f>
        <v>46238</v>
      </c>
    </row>
    <row r="9" spans="1:16" ht="28.5">
      <c r="A9" s="10" t="str">
        <f>IF(Инвентаризация!C9="","",Инвентаризация!B9)</f>
        <v>MK KASHIYAMA</v>
      </c>
      <c r="B9" s="10" t="str">
        <f>IF(Инвентаризация!C9="","",Инвентаризация!C9)</f>
        <v>K2333</v>
      </c>
      <c r="C9" s="5" t="str">
        <f>IF(Инвентаризация!C9="","",Инвентаризация!D9)</f>
        <v>Колодки тормозные задние  барабанные, комплект</v>
      </c>
      <c r="D9" s="11">
        <f>IF(Инвентаризация!C9="","",Инвентаризация!E9)</f>
        <v>1</v>
      </c>
      <c r="E9" s="12">
        <f>IF(Инвентаризация!C9="","",Инвентаризация!F9)</f>
        <v>0</v>
      </c>
      <c r="F9" s="12">
        <f>IF(Инвентаризация!C9="","",Инвентаризация!G9)</f>
        <v>12000</v>
      </c>
      <c r="G9" s="12">
        <f t="shared" si="0"/>
        <v>12000</v>
      </c>
      <c r="H9" s="13">
        <f t="shared" si="1"/>
        <v>1</v>
      </c>
      <c r="I9" s="12">
        <f t="shared" si="2"/>
        <v>0</v>
      </c>
      <c r="J9" s="12">
        <f t="shared" si="3"/>
        <v>12000</v>
      </c>
      <c r="K9" s="12">
        <f t="shared" si="4"/>
        <v>12000</v>
      </c>
      <c r="L9" s="10" t="str">
        <f>IF(Инвентаризация!C9="","",Инвентаризация!M9)</f>
        <v>Да</v>
      </c>
      <c r="M9" s="10">
        <f>IF(Инвентаризация!C9="","",Инвентаризация!N9)</f>
        <v>172999972</v>
      </c>
      <c r="N9" s="10">
        <f>IF(Инвентаризация!C9="","",Инвентаризация!O9)</f>
        <v>0</v>
      </c>
      <c r="O9" s="10">
        <f>IF(Инвентаризация!C9="","",Инвентаризация!P9)</f>
        <v>0</v>
      </c>
      <c r="P9" s="8">
        <f>IF(Инвентаризация!C9="","",Инвентаризация!Q9)</f>
        <v>46239</v>
      </c>
    </row>
    <row r="10" spans="1:16">
      <c r="A10" s="10" t="str">
        <f>IF(Инвентаризация!C10="","",Инвентаризация!B10)</f>
        <v/>
      </c>
      <c r="B10" s="10" t="str">
        <f>IF(Инвентаризация!C10="","",Инвентаризация!C10)</f>
        <v/>
      </c>
      <c r="C10" s="5" t="str">
        <f>IF(Инвентаризация!C10="","",Инвентаризация!D10)</f>
        <v/>
      </c>
      <c r="D10" s="11" t="str">
        <f>IF(Инвентаризация!C10="","",Инвентаризация!E10)</f>
        <v/>
      </c>
      <c r="E10" s="12" t="str">
        <f>IF(Инвентаризация!C10="","",Инвентаризация!F10)</f>
        <v/>
      </c>
      <c r="F10" s="12" t="str">
        <f>IF(Инвентаризация!C10="","",Инвентаризация!G10)</f>
        <v/>
      </c>
      <c r="G10" s="12" t="str">
        <f t="shared" si="0"/>
        <v/>
      </c>
      <c r="H10" s="13" t="str">
        <f t="shared" si="1"/>
        <v/>
      </c>
      <c r="I10" s="12" t="str">
        <f t="shared" si="2"/>
        <v/>
      </c>
      <c r="J10" s="12" t="str">
        <f t="shared" si="3"/>
        <v/>
      </c>
      <c r="K10" s="12" t="str">
        <f t="shared" si="4"/>
        <v/>
      </c>
      <c r="L10" s="10" t="str">
        <f>IF(Инвентаризация!C10="","",Инвентаризация!M10)</f>
        <v/>
      </c>
      <c r="M10" s="10" t="str">
        <f>IF(Инвентаризация!C10="","",Инвентаризация!N10)</f>
        <v/>
      </c>
      <c r="N10" s="10" t="str">
        <f>IF(Инвентаризация!C10="","",Инвентаризация!O10)</f>
        <v/>
      </c>
      <c r="O10" s="10" t="str">
        <f>IF(Инвентаризация!C10="","",Инвентаризация!P10)</f>
        <v/>
      </c>
      <c r="P10" s="8" t="str">
        <f>IF(Инвентаризация!C10="","",Инвентаризация!Q10)</f>
        <v/>
      </c>
    </row>
    <row r="11" spans="1:16">
      <c r="A11" s="10" t="str">
        <f>IF(Инвентаризация!C11="","",Инвентаризация!B11)</f>
        <v/>
      </c>
      <c r="B11" s="10" t="str">
        <f>IF(Инвентаризация!C11="","",Инвентаризация!C11)</f>
        <v/>
      </c>
      <c r="C11" s="5" t="str">
        <f>IF(Инвентаризация!C11="","",Инвентаризация!D11)</f>
        <v/>
      </c>
      <c r="D11" s="11" t="str">
        <f>IF(Инвентаризация!C11="","",Инвентаризация!E11)</f>
        <v/>
      </c>
      <c r="E11" s="12" t="str">
        <f>IF(Инвентаризация!C11="","",Инвентаризация!F11)</f>
        <v/>
      </c>
      <c r="F11" s="12" t="str">
        <f>IF(Инвентаризация!C11="","",Инвентаризация!G11)</f>
        <v/>
      </c>
      <c r="G11" s="12" t="str">
        <f t="shared" si="0"/>
        <v/>
      </c>
      <c r="H11" s="13" t="str">
        <f t="shared" si="1"/>
        <v/>
      </c>
      <c r="I11" s="12" t="str">
        <f t="shared" si="2"/>
        <v/>
      </c>
      <c r="J11" s="12" t="str">
        <f t="shared" si="3"/>
        <v/>
      </c>
      <c r="K11" s="12" t="str">
        <f t="shared" si="4"/>
        <v/>
      </c>
      <c r="L11" s="10" t="str">
        <f>IF(Инвентаризация!C11="","",Инвентаризация!M11)</f>
        <v/>
      </c>
      <c r="M11" s="10" t="str">
        <f>IF(Инвентаризация!C11="","",Инвентаризация!N11)</f>
        <v/>
      </c>
      <c r="N11" s="10" t="str">
        <f>IF(Инвентаризация!C11="","",Инвентаризация!O11)</f>
        <v/>
      </c>
      <c r="O11" s="10" t="str">
        <f>IF(Инвентаризация!C11="","",Инвентаризация!P11)</f>
        <v/>
      </c>
      <c r="P11" s="8" t="str">
        <f>IF(Инвентаризация!C11="","",Инвентаризация!Q11)</f>
        <v/>
      </c>
    </row>
    <row r="12" spans="1:16">
      <c r="A12" s="10" t="str">
        <f>IF(Инвентаризация!C12="","",Инвентаризация!B12)</f>
        <v/>
      </c>
      <c r="B12" s="10" t="str">
        <f>IF(Инвентаризация!C12="","",Инвентаризация!C12)</f>
        <v/>
      </c>
      <c r="C12" s="5" t="str">
        <f>IF(Инвентаризация!C12="","",Инвентаризация!D12)</f>
        <v/>
      </c>
      <c r="D12" s="11" t="str">
        <f>IF(Инвентаризация!C12="","",Инвентаризация!E12)</f>
        <v/>
      </c>
      <c r="E12" s="12" t="str">
        <f>IF(Инвентаризация!C12="","",Инвентаризация!F12)</f>
        <v/>
      </c>
      <c r="F12" s="12" t="str">
        <f>IF(Инвентаризация!C12="","",Инвентаризация!G12)</f>
        <v/>
      </c>
      <c r="G12" s="12" t="str">
        <f t="shared" si="0"/>
        <v/>
      </c>
      <c r="H12" s="13" t="str">
        <f t="shared" si="1"/>
        <v/>
      </c>
      <c r="I12" s="12" t="str">
        <f t="shared" si="2"/>
        <v/>
      </c>
      <c r="J12" s="12" t="str">
        <f t="shared" si="3"/>
        <v/>
      </c>
      <c r="K12" s="12" t="str">
        <f t="shared" si="4"/>
        <v/>
      </c>
      <c r="L12" s="10" t="str">
        <f>IF(Инвентаризация!C12="","",Инвентаризация!M12)</f>
        <v/>
      </c>
      <c r="M12" s="10" t="str">
        <f>IF(Инвентаризация!C12="","",Инвентаризация!N12)</f>
        <v/>
      </c>
      <c r="N12" s="10" t="str">
        <f>IF(Инвентаризация!C12="","",Инвентаризация!O12)</f>
        <v/>
      </c>
      <c r="O12" s="10" t="str">
        <f>IF(Инвентаризация!C12="","",Инвентаризация!P12)</f>
        <v/>
      </c>
      <c r="P12" s="8" t="str">
        <f>IF(Инвентаризация!C12="","",Инвентаризация!Q12)</f>
        <v/>
      </c>
    </row>
    <row r="13" spans="1:16">
      <c r="A13" s="10" t="str">
        <f>IF(Инвентаризация!C13="","",Инвентаризация!B13)</f>
        <v/>
      </c>
      <c r="B13" s="10" t="str">
        <f>IF(Инвентаризация!C13="","",Инвентаризация!C13)</f>
        <v/>
      </c>
      <c r="C13" s="5" t="str">
        <f>IF(Инвентаризация!C13="","",Инвентаризация!D13)</f>
        <v/>
      </c>
      <c r="D13" s="11" t="str">
        <f>IF(Инвентаризация!C13="","",Инвентаризация!E13)</f>
        <v/>
      </c>
      <c r="E13" s="12" t="str">
        <f>IF(Инвентаризация!C13="","",Инвентаризация!F13)</f>
        <v/>
      </c>
      <c r="F13" s="12" t="str">
        <f>IF(Инвентаризация!C13="","",Инвентаризация!G13)</f>
        <v/>
      </c>
      <c r="G13" s="12" t="str">
        <f t="shared" si="0"/>
        <v/>
      </c>
      <c r="H13" s="13" t="str">
        <f t="shared" si="1"/>
        <v/>
      </c>
      <c r="I13" s="12" t="str">
        <f t="shared" si="2"/>
        <v/>
      </c>
      <c r="J13" s="12" t="str">
        <f t="shared" si="3"/>
        <v/>
      </c>
      <c r="K13" s="12" t="str">
        <f t="shared" si="4"/>
        <v/>
      </c>
      <c r="L13" s="10" t="str">
        <f>IF(Инвентаризация!C13="","",Инвентаризация!M13)</f>
        <v/>
      </c>
      <c r="M13" s="10" t="str">
        <f>IF(Инвентаризация!C13="","",Инвентаризация!N13)</f>
        <v/>
      </c>
      <c r="N13" s="10" t="str">
        <f>IF(Инвентаризация!C13="","",Инвентаризация!O13)</f>
        <v/>
      </c>
      <c r="O13" s="10" t="str">
        <f>IF(Инвентаризация!C13="","",Инвентаризация!P13)</f>
        <v/>
      </c>
      <c r="P13" s="8" t="str">
        <f>IF(Инвентаризация!C13="","",Инвентаризация!Q13)</f>
        <v/>
      </c>
    </row>
    <row r="14" spans="1:16">
      <c r="A14" s="10" t="str">
        <f>IF(Инвентаризация!C14="","",Инвентаризация!B14)</f>
        <v/>
      </c>
      <c r="B14" s="10" t="str">
        <f>IF(Инвентаризация!C14="","",Инвентаризация!C14)</f>
        <v/>
      </c>
      <c r="C14" s="5" t="str">
        <f>IF(Инвентаризация!C14="","",Инвентаризация!D14)</f>
        <v/>
      </c>
      <c r="D14" s="11" t="str">
        <f>IF(Инвентаризация!C14="","",Инвентаризация!E14)</f>
        <v/>
      </c>
      <c r="E14" s="12" t="str">
        <f>IF(Инвентаризация!C14="","",Инвентаризация!F14)</f>
        <v/>
      </c>
      <c r="F14" s="12" t="str">
        <f>IF(Инвентаризация!C14="","",Инвентаризация!G14)</f>
        <v/>
      </c>
      <c r="G14" s="12" t="str">
        <f t="shared" si="0"/>
        <v/>
      </c>
      <c r="H14" s="13" t="str">
        <f t="shared" si="1"/>
        <v/>
      </c>
      <c r="I14" s="12" t="str">
        <f t="shared" si="2"/>
        <v/>
      </c>
      <c r="J14" s="12" t="str">
        <f t="shared" si="3"/>
        <v/>
      </c>
      <c r="K14" s="12" t="str">
        <f t="shared" si="4"/>
        <v/>
      </c>
      <c r="L14" s="10" t="str">
        <f>IF(Инвентаризация!C14="","",Инвентаризация!M14)</f>
        <v/>
      </c>
      <c r="M14" s="10" t="str">
        <f>IF(Инвентаризация!C14="","",Инвентаризация!N14)</f>
        <v/>
      </c>
      <c r="N14" s="10" t="str">
        <f>IF(Инвентаризация!C14="","",Инвентаризация!O14)</f>
        <v/>
      </c>
      <c r="O14" s="10" t="str">
        <f>IF(Инвентаризация!C14="","",Инвентаризация!P14)</f>
        <v/>
      </c>
      <c r="P14" s="8" t="str">
        <f>IF(Инвентаризация!C14="","",Инвентаризация!Q14)</f>
        <v/>
      </c>
    </row>
    <row r="15" spans="1:16">
      <c r="A15" s="10" t="str">
        <f>IF(Инвентаризация!C15="","",Инвентаризация!B15)</f>
        <v/>
      </c>
      <c r="B15" s="10" t="str">
        <f>IF(Инвентаризация!C15="","",Инвентаризация!C15)</f>
        <v/>
      </c>
      <c r="C15" s="5" t="str">
        <f>IF(Инвентаризация!C15="","",Инвентаризация!D15)</f>
        <v/>
      </c>
      <c r="D15" s="11" t="str">
        <f>IF(Инвентаризация!C15="","",Инвентаризация!E15)</f>
        <v/>
      </c>
      <c r="E15" s="12" t="str">
        <f>IF(Инвентаризация!C15="","",Инвентаризация!F15)</f>
        <v/>
      </c>
      <c r="F15" s="12" t="str">
        <f>IF(Инвентаризация!C15="","",Инвентаризация!G15)</f>
        <v/>
      </c>
      <c r="G15" s="12" t="str">
        <f t="shared" si="0"/>
        <v/>
      </c>
      <c r="H15" s="13" t="str">
        <f t="shared" si="1"/>
        <v/>
      </c>
      <c r="I15" s="12" t="str">
        <f t="shared" si="2"/>
        <v/>
      </c>
      <c r="J15" s="12" t="str">
        <f t="shared" si="3"/>
        <v/>
      </c>
      <c r="K15" s="12" t="str">
        <f t="shared" si="4"/>
        <v/>
      </c>
      <c r="L15" s="10" t="str">
        <f>IF(Инвентаризация!C15="","",Инвентаризация!M15)</f>
        <v/>
      </c>
      <c r="M15" s="10" t="str">
        <f>IF(Инвентаризация!C15="","",Инвентаризация!N15)</f>
        <v/>
      </c>
      <c r="N15" s="10" t="str">
        <f>IF(Инвентаризация!C15="","",Инвентаризация!O15)</f>
        <v/>
      </c>
      <c r="O15" s="10" t="str">
        <f>IF(Инвентаризация!C15="","",Инвентаризация!P15)</f>
        <v/>
      </c>
      <c r="P15" s="8" t="str">
        <f>IF(Инвентаризация!C15="","",Инвентаризация!Q15)</f>
        <v/>
      </c>
    </row>
    <row r="16" spans="1:16">
      <c r="A16" s="10" t="str">
        <f>IF(Инвентаризация!C16="","",Инвентаризация!B16)</f>
        <v/>
      </c>
      <c r="B16" s="10" t="str">
        <f>IF(Инвентаризация!C16="","",Инвентаризация!C16)</f>
        <v/>
      </c>
      <c r="C16" s="5" t="str">
        <f>IF(Инвентаризация!C16="","",Инвентаризация!D16)</f>
        <v/>
      </c>
      <c r="D16" s="11" t="str">
        <f>IF(Инвентаризация!C16="","",Инвентаризация!E16)</f>
        <v/>
      </c>
      <c r="E16" s="12" t="str">
        <f>IF(Инвентаризация!C16="","",Инвентаризация!F16)</f>
        <v/>
      </c>
      <c r="F16" s="12" t="str">
        <f>IF(Инвентаризация!C16="","",Инвентаризация!G16)</f>
        <v/>
      </c>
      <c r="G16" s="12" t="str">
        <f t="shared" si="0"/>
        <v/>
      </c>
      <c r="H16" s="13" t="str">
        <f t="shared" si="1"/>
        <v/>
      </c>
      <c r="I16" s="12" t="str">
        <f t="shared" si="2"/>
        <v/>
      </c>
      <c r="J16" s="12" t="str">
        <f t="shared" si="3"/>
        <v/>
      </c>
      <c r="K16" s="12" t="str">
        <f t="shared" si="4"/>
        <v/>
      </c>
      <c r="L16" s="10" t="str">
        <f>IF(Инвентаризация!C16="","",Инвентаризация!M16)</f>
        <v/>
      </c>
      <c r="M16" s="10" t="str">
        <f>IF(Инвентаризация!C16="","",Инвентаризация!N16)</f>
        <v/>
      </c>
      <c r="N16" s="10" t="str">
        <f>IF(Инвентаризация!C16="","",Инвентаризация!O16)</f>
        <v/>
      </c>
      <c r="O16" s="10" t="str">
        <f>IF(Инвентаризация!C16="","",Инвентаризация!P16)</f>
        <v/>
      </c>
      <c r="P16" s="8" t="str">
        <f>IF(Инвентаризация!C16="","",Инвентаризация!Q16)</f>
        <v/>
      </c>
    </row>
    <row r="17" spans="1:16">
      <c r="A17" s="10" t="str">
        <f>IF(Инвентаризация!C17="","",Инвентаризация!B17)</f>
        <v/>
      </c>
      <c r="B17" s="10" t="str">
        <f>IF(Инвентаризация!C17="","",Инвентаризация!C17)</f>
        <v/>
      </c>
      <c r="C17" s="5" t="str">
        <f>IF(Инвентаризация!C17="","",Инвентаризация!D17)</f>
        <v/>
      </c>
      <c r="D17" s="11" t="str">
        <f>IF(Инвентаризация!C17="","",Инвентаризация!E17)</f>
        <v/>
      </c>
      <c r="E17" s="12" t="str">
        <f>IF(Инвентаризация!C17="","",Инвентаризация!F17)</f>
        <v/>
      </c>
      <c r="F17" s="12" t="str">
        <f>IF(Инвентаризация!C17="","",Инвентаризация!G17)</f>
        <v/>
      </c>
      <c r="G17" s="12" t="str">
        <f t="shared" si="0"/>
        <v/>
      </c>
      <c r="H17" s="13" t="str">
        <f t="shared" si="1"/>
        <v/>
      </c>
      <c r="I17" s="12" t="str">
        <f t="shared" si="2"/>
        <v/>
      </c>
      <c r="J17" s="12" t="str">
        <f t="shared" si="3"/>
        <v/>
      </c>
      <c r="K17" s="12" t="str">
        <f t="shared" si="4"/>
        <v/>
      </c>
      <c r="L17" s="10" t="str">
        <f>IF(Инвентаризация!C17="","",Инвентаризация!M17)</f>
        <v/>
      </c>
      <c r="M17" s="10" t="str">
        <f>IF(Инвентаризация!C17="","",Инвентаризация!N17)</f>
        <v/>
      </c>
      <c r="N17" s="10" t="str">
        <f>IF(Инвентаризация!C17="","",Инвентаризация!O17)</f>
        <v/>
      </c>
      <c r="O17" s="10" t="str">
        <f>IF(Инвентаризация!C17="","",Инвентаризация!P17)</f>
        <v/>
      </c>
      <c r="P17" s="8" t="str">
        <f>IF(Инвентаризация!C17="","",Инвентаризация!Q17)</f>
        <v/>
      </c>
    </row>
    <row r="18" spans="1:16">
      <c r="A18" s="10" t="str">
        <f>IF(Инвентаризация!C18="","",Инвентаризация!B18)</f>
        <v/>
      </c>
      <c r="B18" s="10" t="str">
        <f>IF(Инвентаризация!C18="","",Инвентаризация!C18)</f>
        <v/>
      </c>
      <c r="C18" s="5" t="str">
        <f>IF(Инвентаризация!C18="","",Инвентаризация!D18)</f>
        <v/>
      </c>
      <c r="D18" s="11" t="str">
        <f>IF(Инвентаризация!C18="","",Инвентаризация!E18)</f>
        <v/>
      </c>
      <c r="E18" s="12" t="str">
        <f>IF(Инвентаризация!C18="","",Инвентаризация!F18)</f>
        <v/>
      </c>
      <c r="F18" s="12" t="str">
        <f>IF(Инвентаризация!C18="","",Инвентаризация!G18)</f>
        <v/>
      </c>
      <c r="G18" s="12" t="str">
        <f t="shared" si="0"/>
        <v/>
      </c>
      <c r="H18" s="13" t="str">
        <f t="shared" si="1"/>
        <v/>
      </c>
      <c r="I18" s="12" t="str">
        <f t="shared" si="2"/>
        <v/>
      </c>
      <c r="J18" s="12" t="str">
        <f t="shared" si="3"/>
        <v/>
      </c>
      <c r="K18" s="12" t="str">
        <f t="shared" si="4"/>
        <v/>
      </c>
      <c r="L18" s="10" t="str">
        <f>IF(Инвентаризация!C18="","",Инвентаризация!M18)</f>
        <v/>
      </c>
      <c r="M18" s="10" t="str">
        <f>IF(Инвентаризация!C18="","",Инвентаризация!N18)</f>
        <v/>
      </c>
      <c r="N18" s="10" t="str">
        <f>IF(Инвентаризация!C18="","",Инвентаризация!O18)</f>
        <v/>
      </c>
      <c r="O18" s="10" t="str">
        <f>IF(Инвентаризация!C18="","",Инвентаризация!P18)</f>
        <v/>
      </c>
      <c r="P18" s="8" t="str">
        <f>IF(Инвентаризация!C18="","",Инвентаризация!Q18)</f>
        <v/>
      </c>
    </row>
    <row r="19" spans="1:16">
      <c r="A19" s="10" t="str">
        <f>IF(Инвентаризация!C19="","",Инвентаризация!B19)</f>
        <v/>
      </c>
      <c r="B19" s="10" t="str">
        <f>IF(Инвентаризация!C19="","",Инвентаризация!C19)</f>
        <v/>
      </c>
      <c r="C19" s="5" t="str">
        <f>IF(Инвентаризация!C19="","",Инвентаризация!D19)</f>
        <v/>
      </c>
      <c r="D19" s="11" t="str">
        <f>IF(Инвентаризация!C19="","",Инвентаризация!E19)</f>
        <v/>
      </c>
      <c r="E19" s="12" t="str">
        <f>IF(Инвентаризация!C19="","",Инвентаризация!F19)</f>
        <v/>
      </c>
      <c r="F19" s="12" t="str">
        <f>IF(Инвентаризация!C19="","",Инвентаризация!G19)</f>
        <v/>
      </c>
      <c r="G19" s="12" t="str">
        <f t="shared" si="0"/>
        <v/>
      </c>
      <c r="H19" s="13" t="str">
        <f t="shared" si="1"/>
        <v/>
      </c>
      <c r="I19" s="12" t="str">
        <f t="shared" si="2"/>
        <v/>
      </c>
      <c r="J19" s="12" t="str">
        <f t="shared" si="3"/>
        <v/>
      </c>
      <c r="K19" s="12" t="str">
        <f t="shared" si="4"/>
        <v/>
      </c>
      <c r="L19" s="10" t="str">
        <f>IF(Инвентаризация!C19="","",Инвентаризация!M19)</f>
        <v/>
      </c>
      <c r="M19" s="10" t="str">
        <f>IF(Инвентаризация!C19="","",Инвентаризация!N19)</f>
        <v/>
      </c>
      <c r="N19" s="10" t="str">
        <f>IF(Инвентаризация!C19="","",Инвентаризация!O19)</f>
        <v/>
      </c>
      <c r="O19" s="10" t="str">
        <f>IF(Инвентаризация!C19="","",Инвентаризация!P19)</f>
        <v/>
      </c>
      <c r="P19" s="8" t="str">
        <f>IF(Инвентаризация!C19="","",Инвентаризация!Q19)</f>
        <v/>
      </c>
    </row>
    <row r="20" spans="1:16">
      <c r="A20" s="10" t="str">
        <f>IF(Инвентаризация!C20="","",Инвентаризация!B20)</f>
        <v/>
      </c>
      <c r="B20" s="10" t="str">
        <f>IF(Инвентаризация!C20="","",Инвентаризация!C20)</f>
        <v/>
      </c>
      <c r="C20" s="5" t="str">
        <f>IF(Инвентаризация!C20="","",Инвентаризация!D20)</f>
        <v/>
      </c>
      <c r="D20" s="11" t="str">
        <f>IF(Инвентаризация!C20="","",Инвентаризация!E20)</f>
        <v/>
      </c>
      <c r="E20" s="12" t="str">
        <f>IF(Инвентаризация!C20="","",Инвентаризация!F20)</f>
        <v/>
      </c>
      <c r="F20" s="12" t="str">
        <f>IF(Инвентаризация!C20="","",Инвентаризация!G20)</f>
        <v/>
      </c>
      <c r="G20" s="12" t="str">
        <f t="shared" si="0"/>
        <v/>
      </c>
      <c r="H20" s="13" t="str">
        <f t="shared" si="1"/>
        <v/>
      </c>
      <c r="I20" s="12" t="str">
        <f t="shared" si="2"/>
        <v/>
      </c>
      <c r="J20" s="12" t="str">
        <f t="shared" si="3"/>
        <v/>
      </c>
      <c r="K20" s="12" t="str">
        <f t="shared" si="4"/>
        <v/>
      </c>
      <c r="L20" s="10" t="str">
        <f>IF(Инвентаризация!C20="","",Инвентаризация!M20)</f>
        <v/>
      </c>
      <c r="M20" s="10" t="str">
        <f>IF(Инвентаризация!C20="","",Инвентаризация!N20)</f>
        <v/>
      </c>
      <c r="N20" s="10" t="str">
        <f>IF(Инвентаризация!C20="","",Инвентаризация!O20)</f>
        <v/>
      </c>
      <c r="O20" s="10" t="str">
        <f>IF(Инвентаризация!C20="","",Инвентаризация!P20)</f>
        <v/>
      </c>
      <c r="P20" s="8" t="str">
        <f>IF(Инвентаризация!C20="","",Инвентаризация!Q20)</f>
        <v/>
      </c>
    </row>
    <row r="21" spans="1:16">
      <c r="A21" s="10" t="str">
        <f>IF(Инвентаризация!C21="","",Инвентаризация!B21)</f>
        <v/>
      </c>
      <c r="B21" s="10" t="str">
        <f>IF(Инвентаризация!C21="","",Инвентаризация!C21)</f>
        <v/>
      </c>
      <c r="C21" s="5" t="str">
        <f>IF(Инвентаризация!C21="","",Инвентаризация!D21)</f>
        <v/>
      </c>
      <c r="D21" s="11" t="str">
        <f>IF(Инвентаризация!C21="","",Инвентаризация!E21)</f>
        <v/>
      </c>
      <c r="E21" s="12" t="str">
        <f>IF(Инвентаризация!C21="","",Инвентаризация!F21)</f>
        <v/>
      </c>
      <c r="F21" s="12" t="str">
        <f>IF(Инвентаризация!C21="","",Инвентаризация!G21)</f>
        <v/>
      </c>
      <c r="G21" s="12" t="str">
        <f t="shared" si="0"/>
        <v/>
      </c>
      <c r="H21" s="13" t="str">
        <f t="shared" si="1"/>
        <v/>
      </c>
      <c r="I21" s="12" t="str">
        <f t="shared" si="2"/>
        <v/>
      </c>
      <c r="J21" s="12" t="str">
        <f t="shared" si="3"/>
        <v/>
      </c>
      <c r="K21" s="12" t="str">
        <f t="shared" si="4"/>
        <v/>
      </c>
      <c r="L21" s="10" t="str">
        <f>IF(Инвентаризация!C21="","",Инвентаризация!M21)</f>
        <v/>
      </c>
      <c r="M21" s="10" t="str">
        <f>IF(Инвентаризация!C21="","",Инвентаризация!N21)</f>
        <v/>
      </c>
      <c r="N21" s="10" t="str">
        <f>IF(Инвентаризация!C21="","",Инвентаризация!O21)</f>
        <v/>
      </c>
      <c r="O21" s="10" t="str">
        <f>IF(Инвентаризация!C21="","",Инвентаризация!P21)</f>
        <v/>
      </c>
      <c r="P21" s="8" t="str">
        <f>IF(Инвентаризация!C21="","",Инвентаризация!Q21)</f>
        <v/>
      </c>
    </row>
    <row r="22" spans="1:16">
      <c r="A22" s="10" t="str">
        <f>IF(Инвентаризация!C22="","",Инвентаризация!B22)</f>
        <v/>
      </c>
      <c r="B22" s="10" t="str">
        <f>IF(Инвентаризация!C22="","",Инвентаризация!C22)</f>
        <v/>
      </c>
      <c r="C22" s="5" t="str">
        <f>IF(Инвентаризация!C22="","",Инвентаризация!D22)</f>
        <v/>
      </c>
      <c r="D22" s="11" t="str">
        <f>IF(Инвентаризация!C22="","",Инвентаризация!E22)</f>
        <v/>
      </c>
      <c r="E22" s="12" t="str">
        <f>IF(Инвентаризация!C22="","",Инвентаризация!F22)</f>
        <v/>
      </c>
      <c r="F22" s="12" t="str">
        <f>IF(Инвентаризация!C22="","",Инвентаризация!G22)</f>
        <v/>
      </c>
      <c r="G22" s="12" t="str">
        <f t="shared" si="0"/>
        <v/>
      </c>
      <c r="H22" s="13" t="str">
        <f t="shared" si="1"/>
        <v/>
      </c>
      <c r="I22" s="12" t="str">
        <f t="shared" si="2"/>
        <v/>
      </c>
      <c r="J22" s="12" t="str">
        <f t="shared" si="3"/>
        <v/>
      </c>
      <c r="K22" s="12" t="str">
        <f t="shared" si="4"/>
        <v/>
      </c>
      <c r="L22" s="10" t="str">
        <f>IF(Инвентаризация!C22="","",Инвентаризация!M22)</f>
        <v/>
      </c>
      <c r="M22" s="10" t="str">
        <f>IF(Инвентаризация!C22="","",Инвентаризация!N22)</f>
        <v/>
      </c>
      <c r="N22" s="10" t="str">
        <f>IF(Инвентаризация!C22="","",Инвентаризация!O22)</f>
        <v/>
      </c>
      <c r="O22" s="10" t="str">
        <f>IF(Инвентаризация!C22="","",Инвентаризация!P22)</f>
        <v/>
      </c>
      <c r="P22" s="8" t="str">
        <f>IF(Инвентаризация!C22="","",Инвентаризация!Q22)</f>
        <v/>
      </c>
    </row>
    <row r="23" spans="1:16">
      <c r="A23" s="10" t="str">
        <f>IF(Инвентаризация!C23="","",Инвентаризация!B23)</f>
        <v/>
      </c>
      <c r="B23" s="10" t="str">
        <f>IF(Инвентаризация!C23="","",Инвентаризация!C23)</f>
        <v/>
      </c>
      <c r="C23" s="5" t="str">
        <f>IF(Инвентаризация!C23="","",Инвентаризация!D23)</f>
        <v/>
      </c>
      <c r="D23" s="11" t="str">
        <f>IF(Инвентаризация!C23="","",Инвентаризация!E23)</f>
        <v/>
      </c>
      <c r="E23" s="12" t="str">
        <f>IF(Инвентаризация!C23="","",Инвентаризация!F23)</f>
        <v/>
      </c>
      <c r="F23" s="12" t="str">
        <f>IF(Инвентаризация!C23="","",Инвентаризация!G23)</f>
        <v/>
      </c>
      <c r="G23" s="12" t="str">
        <f t="shared" si="0"/>
        <v/>
      </c>
      <c r="H23" s="13" t="str">
        <f t="shared" si="1"/>
        <v/>
      </c>
      <c r="I23" s="12" t="str">
        <f t="shared" si="2"/>
        <v/>
      </c>
      <c r="J23" s="12" t="str">
        <f t="shared" si="3"/>
        <v/>
      </c>
      <c r="K23" s="12" t="str">
        <f t="shared" si="4"/>
        <v/>
      </c>
      <c r="L23" s="10" t="str">
        <f>IF(Инвентаризация!C23="","",Инвентаризация!M23)</f>
        <v/>
      </c>
      <c r="M23" s="10" t="str">
        <f>IF(Инвентаризация!C23="","",Инвентаризация!N23)</f>
        <v/>
      </c>
      <c r="N23" s="10" t="str">
        <f>IF(Инвентаризация!C23="","",Инвентаризация!O23)</f>
        <v/>
      </c>
      <c r="O23" s="10" t="str">
        <f>IF(Инвентаризация!C23="","",Инвентаризация!P23)</f>
        <v/>
      </c>
      <c r="P23" s="8" t="str">
        <f>IF(Инвентаризация!C23="","",Инвентаризация!Q23)</f>
        <v/>
      </c>
    </row>
    <row r="24" spans="1:16">
      <c r="A24" s="10" t="str">
        <f>IF(Инвентаризация!C24="","",Инвентаризация!B24)</f>
        <v/>
      </c>
      <c r="B24" s="10" t="str">
        <f>IF(Инвентаризация!C24="","",Инвентаризация!C24)</f>
        <v/>
      </c>
      <c r="C24" s="5" t="str">
        <f>IF(Инвентаризация!C24="","",Инвентаризация!D24)</f>
        <v/>
      </c>
      <c r="D24" s="11" t="str">
        <f>IF(Инвентаризация!C24="","",Инвентаризация!E24)</f>
        <v/>
      </c>
      <c r="E24" s="12" t="str">
        <f>IF(Инвентаризация!C24="","",Инвентаризация!F24)</f>
        <v/>
      </c>
      <c r="F24" s="12" t="str">
        <f>IF(Инвентаризация!C24="","",Инвентаризация!G24)</f>
        <v/>
      </c>
      <c r="G24" s="12" t="str">
        <f t="shared" si="0"/>
        <v/>
      </c>
      <c r="H24" s="13" t="str">
        <f t="shared" si="1"/>
        <v/>
      </c>
      <c r="I24" s="12" t="str">
        <f t="shared" si="2"/>
        <v/>
      </c>
      <c r="J24" s="12" t="str">
        <f t="shared" si="3"/>
        <v/>
      </c>
      <c r="K24" s="12" t="str">
        <f t="shared" si="4"/>
        <v/>
      </c>
      <c r="L24" s="10" t="str">
        <f>IF(Инвентаризация!C24="","",Инвентаризация!M24)</f>
        <v/>
      </c>
      <c r="M24" s="10" t="str">
        <f>IF(Инвентаризация!C24="","",Инвентаризация!N24)</f>
        <v/>
      </c>
      <c r="N24" s="10" t="str">
        <f>IF(Инвентаризация!C24="","",Инвентаризация!O24)</f>
        <v/>
      </c>
      <c r="O24" s="10" t="str">
        <f>IF(Инвентаризация!C24="","",Инвентаризация!P24)</f>
        <v/>
      </c>
      <c r="P24" s="8" t="str">
        <f>IF(Инвентаризация!C24="","",Инвентаризация!Q24)</f>
        <v/>
      </c>
    </row>
    <row r="25" spans="1:16">
      <c r="A25" s="10" t="str">
        <f>IF(Инвентаризация!C25="","",Инвентаризация!B25)</f>
        <v/>
      </c>
      <c r="B25" s="10" t="str">
        <f>IF(Инвентаризация!C25="","",Инвентаризация!C25)</f>
        <v/>
      </c>
      <c r="C25" s="5" t="str">
        <f>IF(Инвентаризация!C25="","",Инвентаризация!D25)</f>
        <v/>
      </c>
      <c r="D25" s="11" t="str">
        <f>IF(Инвентаризация!C25="","",Инвентаризация!E25)</f>
        <v/>
      </c>
      <c r="E25" s="12" t="str">
        <f>IF(Инвентаризация!C25="","",Инвентаризация!F25)</f>
        <v/>
      </c>
      <c r="F25" s="12" t="str">
        <f>IF(Инвентаризация!C25="","",Инвентаризация!G25)</f>
        <v/>
      </c>
      <c r="G25" s="12" t="str">
        <f t="shared" si="0"/>
        <v/>
      </c>
      <c r="H25" s="13" t="str">
        <f t="shared" si="1"/>
        <v/>
      </c>
      <c r="I25" s="12" t="str">
        <f t="shared" si="2"/>
        <v/>
      </c>
      <c r="J25" s="12" t="str">
        <f t="shared" si="3"/>
        <v/>
      </c>
      <c r="K25" s="12" t="str">
        <f t="shared" si="4"/>
        <v/>
      </c>
      <c r="L25" s="10" t="str">
        <f>IF(Инвентаризация!C25="","",Инвентаризация!M25)</f>
        <v/>
      </c>
      <c r="M25" s="10" t="str">
        <f>IF(Инвентаризация!C25="","",Инвентаризация!N25)</f>
        <v/>
      </c>
      <c r="N25" s="10" t="str">
        <f>IF(Инвентаризация!C25="","",Инвентаризация!O25)</f>
        <v/>
      </c>
      <c r="O25" s="10" t="str">
        <f>IF(Инвентаризация!C25="","",Инвентаризация!P25)</f>
        <v/>
      </c>
      <c r="P25" s="8" t="str">
        <f>IF(Инвентаризация!C25="","",Инвентаризация!Q25)</f>
        <v/>
      </c>
    </row>
    <row r="26" spans="1:16">
      <c r="A26" s="10" t="str">
        <f>IF(Инвентаризация!C26="","",Инвентаризация!B26)</f>
        <v/>
      </c>
      <c r="B26" s="10" t="str">
        <f>IF(Инвентаризация!C26="","",Инвентаризация!C26)</f>
        <v/>
      </c>
      <c r="C26" s="5" t="str">
        <f>IF(Инвентаризация!C26="","",Инвентаризация!D26)</f>
        <v/>
      </c>
      <c r="D26" s="11" t="str">
        <f>IF(Инвентаризация!C26="","",Инвентаризация!E26)</f>
        <v/>
      </c>
      <c r="E26" s="12" t="str">
        <f>IF(Инвентаризация!C26="","",Инвентаризация!F26)</f>
        <v/>
      </c>
      <c r="F26" s="12" t="str">
        <f>IF(Инвентаризация!C26="","",Инвентаризация!G26)</f>
        <v/>
      </c>
      <c r="G26" s="12" t="str">
        <f t="shared" si="0"/>
        <v/>
      </c>
      <c r="H26" s="13" t="str">
        <f t="shared" si="1"/>
        <v/>
      </c>
      <c r="I26" s="12" t="str">
        <f t="shared" si="2"/>
        <v/>
      </c>
      <c r="J26" s="12" t="str">
        <f t="shared" si="3"/>
        <v/>
      </c>
      <c r="K26" s="12" t="str">
        <f t="shared" si="4"/>
        <v/>
      </c>
      <c r="L26" s="10" t="str">
        <f>IF(Инвентаризация!C26="","",Инвентаризация!M26)</f>
        <v/>
      </c>
      <c r="M26" s="10" t="str">
        <f>IF(Инвентаризация!C26="","",Инвентаризация!N26)</f>
        <v/>
      </c>
      <c r="N26" s="10" t="str">
        <f>IF(Инвентаризация!C26="","",Инвентаризация!O26)</f>
        <v/>
      </c>
      <c r="O26" s="10" t="str">
        <f>IF(Инвентаризация!C26="","",Инвентаризация!P26)</f>
        <v/>
      </c>
      <c r="P26" s="8" t="str">
        <f>IF(Инвентаризация!C26="","",Инвентаризация!Q26)</f>
        <v/>
      </c>
    </row>
    <row r="27" spans="1:16">
      <c r="A27" s="10" t="str">
        <f>IF(Инвентаризация!C27="","",Инвентаризация!B27)</f>
        <v/>
      </c>
      <c r="B27" s="10" t="str">
        <f>IF(Инвентаризация!C27="","",Инвентаризация!C27)</f>
        <v/>
      </c>
      <c r="C27" s="5" t="str">
        <f>IF(Инвентаризация!C27="","",Инвентаризация!D27)</f>
        <v/>
      </c>
      <c r="D27" s="11" t="str">
        <f>IF(Инвентаризация!C27="","",Инвентаризация!E27)</f>
        <v/>
      </c>
      <c r="E27" s="12" t="str">
        <f>IF(Инвентаризация!C27="","",Инвентаризация!F27)</f>
        <v/>
      </c>
      <c r="F27" s="12" t="str">
        <f>IF(Инвентаризация!C27="","",Инвентаризация!G27)</f>
        <v/>
      </c>
      <c r="G27" s="12" t="str">
        <f t="shared" si="0"/>
        <v/>
      </c>
      <c r="H27" s="13" t="str">
        <f t="shared" si="1"/>
        <v/>
      </c>
      <c r="I27" s="12" t="str">
        <f t="shared" si="2"/>
        <v/>
      </c>
      <c r="J27" s="12" t="str">
        <f t="shared" si="3"/>
        <v/>
      </c>
      <c r="K27" s="12" t="str">
        <f t="shared" si="4"/>
        <v/>
      </c>
      <c r="L27" s="10" t="str">
        <f>IF(Инвентаризация!C27="","",Инвентаризация!M27)</f>
        <v/>
      </c>
      <c r="M27" s="10" t="str">
        <f>IF(Инвентаризация!C27="","",Инвентаризация!N27)</f>
        <v/>
      </c>
      <c r="N27" s="10" t="str">
        <f>IF(Инвентаризация!C27="","",Инвентаризация!O27)</f>
        <v/>
      </c>
      <c r="O27" s="10" t="str">
        <f>IF(Инвентаризация!C27="","",Инвентаризация!P27)</f>
        <v/>
      </c>
      <c r="P27" s="8" t="str">
        <f>IF(Инвентаризация!C27="","",Инвентаризация!Q27)</f>
        <v/>
      </c>
    </row>
    <row r="28" spans="1:16">
      <c r="A28" s="10" t="str">
        <f>IF(Инвентаризация!C28="","",Инвентаризация!B28)</f>
        <v/>
      </c>
      <c r="B28" s="10" t="str">
        <f>IF(Инвентаризация!C28="","",Инвентаризация!C28)</f>
        <v/>
      </c>
      <c r="C28" s="5" t="str">
        <f>IF(Инвентаризация!C28="","",Инвентаризация!D28)</f>
        <v/>
      </c>
      <c r="D28" s="11" t="str">
        <f>IF(Инвентаризация!C28="","",Инвентаризация!E28)</f>
        <v/>
      </c>
      <c r="E28" s="12" t="str">
        <f>IF(Инвентаризация!C28="","",Инвентаризация!F28)</f>
        <v/>
      </c>
      <c r="F28" s="12" t="str">
        <f>IF(Инвентаризация!C28="","",Инвентаризация!G28)</f>
        <v/>
      </c>
      <c r="G28" s="12" t="str">
        <f t="shared" si="0"/>
        <v/>
      </c>
      <c r="H28" s="13" t="str">
        <f t="shared" si="1"/>
        <v/>
      </c>
      <c r="I28" s="12" t="str">
        <f t="shared" si="2"/>
        <v/>
      </c>
      <c r="J28" s="12" t="str">
        <f t="shared" si="3"/>
        <v/>
      </c>
      <c r="K28" s="12" t="str">
        <f t="shared" si="4"/>
        <v/>
      </c>
      <c r="L28" s="10" t="str">
        <f>IF(Инвентаризация!C28="","",Инвентаризация!M28)</f>
        <v/>
      </c>
      <c r="M28" s="10" t="str">
        <f>IF(Инвентаризация!C28="","",Инвентаризация!N28)</f>
        <v/>
      </c>
      <c r="N28" s="10" t="str">
        <f>IF(Инвентаризация!C28="","",Инвентаризация!O28)</f>
        <v/>
      </c>
      <c r="O28" s="10" t="str">
        <f>IF(Инвентаризация!C28="","",Инвентаризация!P28)</f>
        <v/>
      </c>
      <c r="P28" s="8" t="str">
        <f>IF(Инвентаризация!C28="","",Инвентаризация!Q28)</f>
        <v/>
      </c>
    </row>
    <row r="29" spans="1:16">
      <c r="A29" s="10" t="str">
        <f>IF(Инвентаризация!C29="","",Инвентаризация!B29)</f>
        <v/>
      </c>
      <c r="B29" s="10" t="str">
        <f>IF(Инвентаризация!C29="","",Инвентаризация!C29)</f>
        <v/>
      </c>
      <c r="C29" s="5" t="str">
        <f>IF(Инвентаризация!C29="","",Инвентаризация!D29)</f>
        <v/>
      </c>
      <c r="D29" s="11" t="str">
        <f>IF(Инвентаризация!C29="","",Инвентаризация!E29)</f>
        <v/>
      </c>
      <c r="E29" s="12" t="str">
        <f>IF(Инвентаризация!C29="","",Инвентаризация!F29)</f>
        <v/>
      </c>
      <c r="F29" s="12" t="str">
        <f>IF(Инвентаризация!C29="","",Инвентаризация!G29)</f>
        <v/>
      </c>
      <c r="G29" s="12" t="str">
        <f t="shared" si="0"/>
        <v/>
      </c>
      <c r="H29" s="13" t="str">
        <f t="shared" si="1"/>
        <v/>
      </c>
      <c r="I29" s="12" t="str">
        <f t="shared" si="2"/>
        <v/>
      </c>
      <c r="J29" s="12" t="str">
        <f t="shared" si="3"/>
        <v/>
      </c>
      <c r="K29" s="12" t="str">
        <f t="shared" si="4"/>
        <v/>
      </c>
      <c r="L29" s="10" t="str">
        <f>IF(Инвентаризация!C29="","",Инвентаризация!M29)</f>
        <v/>
      </c>
      <c r="M29" s="10" t="str">
        <f>IF(Инвентаризация!C29="","",Инвентаризация!N29)</f>
        <v/>
      </c>
      <c r="N29" s="10" t="str">
        <f>IF(Инвентаризация!C29="","",Инвентаризация!O29)</f>
        <v/>
      </c>
      <c r="O29" s="10" t="str">
        <f>IF(Инвентаризация!C29="","",Инвентаризация!P29)</f>
        <v/>
      </c>
      <c r="P29" s="8" t="str">
        <f>IF(Инвентаризация!C29="","",Инвентаризация!Q29)</f>
        <v/>
      </c>
    </row>
    <row r="30" spans="1:16">
      <c r="A30" s="10" t="str">
        <f>IF(Инвентаризация!C30="","",Инвентаризация!B30)</f>
        <v/>
      </c>
      <c r="B30" s="10" t="str">
        <f>IF(Инвентаризация!C30="","",Инвентаризация!C30)</f>
        <v/>
      </c>
      <c r="C30" s="5" t="str">
        <f>IF(Инвентаризация!C30="","",Инвентаризация!D30)</f>
        <v/>
      </c>
      <c r="D30" s="11" t="str">
        <f>IF(Инвентаризация!C30="","",Инвентаризация!E30)</f>
        <v/>
      </c>
      <c r="E30" s="12" t="str">
        <f>IF(Инвентаризация!C30="","",Инвентаризация!F30)</f>
        <v/>
      </c>
      <c r="F30" s="12" t="str">
        <f>IF(Инвентаризация!C30="","",Инвентаризация!G30)</f>
        <v/>
      </c>
      <c r="G30" s="12" t="str">
        <f t="shared" si="0"/>
        <v/>
      </c>
      <c r="H30" s="13" t="str">
        <f t="shared" si="1"/>
        <v/>
      </c>
      <c r="I30" s="12" t="str">
        <f t="shared" si="2"/>
        <v/>
      </c>
      <c r="J30" s="12" t="str">
        <f t="shared" si="3"/>
        <v/>
      </c>
      <c r="K30" s="12" t="str">
        <f t="shared" si="4"/>
        <v/>
      </c>
      <c r="L30" s="10" t="str">
        <f>IF(Инвентаризация!C30="","",Инвентаризация!M30)</f>
        <v/>
      </c>
      <c r="M30" s="10" t="str">
        <f>IF(Инвентаризация!C30="","",Инвентаризация!N30)</f>
        <v/>
      </c>
      <c r="N30" s="10" t="str">
        <f>IF(Инвентаризация!C30="","",Инвентаризация!O30)</f>
        <v/>
      </c>
      <c r="O30" s="10" t="str">
        <f>IF(Инвентаризация!C30="","",Инвентаризация!P30)</f>
        <v/>
      </c>
      <c r="P30" s="8" t="str">
        <f>IF(Инвентаризация!C30="","",Инвентаризация!Q30)</f>
        <v/>
      </c>
    </row>
    <row r="31" spans="1:16">
      <c r="A31" s="10" t="str">
        <f>IF(Инвентаризация!C31="","",Инвентаризация!B31)</f>
        <v/>
      </c>
      <c r="B31" s="10" t="str">
        <f>IF(Инвентаризация!C31="","",Инвентаризация!C31)</f>
        <v/>
      </c>
      <c r="C31" s="5" t="str">
        <f>IF(Инвентаризация!C31="","",Инвентаризация!D31)</f>
        <v/>
      </c>
      <c r="D31" s="11" t="str">
        <f>IF(Инвентаризация!C31="","",Инвентаризация!E31)</f>
        <v/>
      </c>
      <c r="E31" s="12" t="str">
        <f>IF(Инвентаризация!C31="","",Инвентаризация!F31)</f>
        <v/>
      </c>
      <c r="F31" s="12" t="str">
        <f>IF(Инвентаризация!C31="","",Инвентаризация!G31)</f>
        <v/>
      </c>
      <c r="G31" s="12" t="str">
        <f t="shared" si="0"/>
        <v/>
      </c>
      <c r="H31" s="13" t="str">
        <f t="shared" si="1"/>
        <v/>
      </c>
      <c r="I31" s="12" t="str">
        <f t="shared" si="2"/>
        <v/>
      </c>
      <c r="J31" s="12" t="str">
        <f t="shared" si="3"/>
        <v/>
      </c>
      <c r="K31" s="12" t="str">
        <f t="shared" si="4"/>
        <v/>
      </c>
      <c r="L31" s="10" t="str">
        <f>IF(Инвентаризация!C31="","",Инвентаризация!M31)</f>
        <v/>
      </c>
      <c r="M31" s="10" t="str">
        <f>IF(Инвентаризация!C31="","",Инвентаризация!N31)</f>
        <v/>
      </c>
      <c r="N31" s="10" t="str">
        <f>IF(Инвентаризация!C31="","",Инвентаризация!O31)</f>
        <v/>
      </c>
      <c r="O31" s="10" t="str">
        <f>IF(Инвентаризация!C31="","",Инвентаризация!P31)</f>
        <v/>
      </c>
      <c r="P31" s="8" t="str">
        <f>IF(Инвентаризация!C31="","",Инвентаризация!Q31)</f>
        <v/>
      </c>
    </row>
    <row r="32" spans="1:16">
      <c r="A32" s="10" t="str">
        <f>IF(Инвентаризация!C32="","",Инвентаризация!B32)</f>
        <v/>
      </c>
      <c r="B32" s="10" t="str">
        <f>IF(Инвентаризация!C32="","",Инвентаризация!C32)</f>
        <v/>
      </c>
      <c r="C32" s="5" t="str">
        <f>IF(Инвентаризация!C32="","",Инвентаризация!D32)</f>
        <v/>
      </c>
      <c r="D32" s="11" t="str">
        <f>IF(Инвентаризация!C32="","",Инвентаризация!E32)</f>
        <v/>
      </c>
      <c r="E32" s="12" t="str">
        <f>IF(Инвентаризация!C32="","",Инвентаризация!F32)</f>
        <v/>
      </c>
      <c r="F32" s="12" t="str">
        <f>IF(Инвентаризация!C32="","",Инвентаризация!G32)</f>
        <v/>
      </c>
      <c r="G32" s="12" t="str">
        <f t="shared" si="0"/>
        <v/>
      </c>
      <c r="H32" s="13" t="str">
        <f t="shared" si="1"/>
        <v/>
      </c>
      <c r="I32" s="12" t="str">
        <f t="shared" si="2"/>
        <v/>
      </c>
      <c r="J32" s="12" t="str">
        <f t="shared" si="3"/>
        <v/>
      </c>
      <c r="K32" s="12" t="str">
        <f t="shared" si="4"/>
        <v/>
      </c>
      <c r="L32" s="10" t="str">
        <f>IF(Инвентаризация!C32="","",Инвентаризация!M32)</f>
        <v/>
      </c>
      <c r="M32" s="10" t="str">
        <f>IF(Инвентаризация!C32="","",Инвентаризация!N32)</f>
        <v/>
      </c>
      <c r="N32" s="10" t="str">
        <f>IF(Инвентаризация!C32="","",Инвентаризация!O32)</f>
        <v/>
      </c>
      <c r="O32" s="10" t="str">
        <f>IF(Инвентаризация!C32="","",Инвентаризация!P32)</f>
        <v/>
      </c>
      <c r="P32" s="8" t="str">
        <f>IF(Инвентаризация!C32="","",Инвентаризация!Q32)</f>
        <v/>
      </c>
    </row>
    <row r="33" spans="1:16">
      <c r="A33" s="10" t="str">
        <f>IF(Инвентаризация!C33="","",Инвентаризация!B33)</f>
        <v/>
      </c>
      <c r="B33" s="10" t="str">
        <f>IF(Инвентаризация!C33="","",Инвентаризация!C33)</f>
        <v/>
      </c>
      <c r="C33" s="5" t="str">
        <f>IF(Инвентаризация!C33="","",Инвентаризация!D33)</f>
        <v/>
      </c>
      <c r="D33" s="11" t="str">
        <f>IF(Инвентаризация!C33="","",Инвентаризация!E33)</f>
        <v/>
      </c>
      <c r="E33" s="12" t="str">
        <f>IF(Инвентаризация!C33="","",Инвентаризация!F33)</f>
        <v/>
      </c>
      <c r="F33" s="12" t="str">
        <f>IF(Инвентаризация!C33="","",Инвентаризация!G33)</f>
        <v/>
      </c>
      <c r="G33" s="12" t="str">
        <f t="shared" si="0"/>
        <v/>
      </c>
      <c r="H33" s="13" t="str">
        <f t="shared" si="1"/>
        <v/>
      </c>
      <c r="I33" s="12" t="str">
        <f t="shared" si="2"/>
        <v/>
      </c>
      <c r="J33" s="12" t="str">
        <f t="shared" si="3"/>
        <v/>
      </c>
      <c r="K33" s="12" t="str">
        <f t="shared" si="4"/>
        <v/>
      </c>
      <c r="L33" s="10" t="str">
        <f>IF(Инвентаризация!C33="","",Инвентаризация!M33)</f>
        <v/>
      </c>
      <c r="M33" s="10" t="str">
        <f>IF(Инвентаризация!C33="","",Инвентаризация!N33)</f>
        <v/>
      </c>
      <c r="N33" s="10" t="str">
        <f>IF(Инвентаризация!C33="","",Инвентаризация!O33)</f>
        <v/>
      </c>
      <c r="O33" s="10" t="str">
        <f>IF(Инвентаризация!C33="","",Инвентаризация!P33)</f>
        <v/>
      </c>
      <c r="P33" s="8" t="str">
        <f>IF(Инвентаризация!C33="","",Инвентаризация!Q33)</f>
        <v/>
      </c>
    </row>
    <row r="34" spans="1:16">
      <c r="A34" s="10" t="str">
        <f>IF(Инвентаризация!C34="","",Инвентаризация!B34)</f>
        <v/>
      </c>
      <c r="B34" s="10" t="str">
        <f>IF(Инвентаризация!C34="","",Инвентаризация!C34)</f>
        <v/>
      </c>
      <c r="C34" s="5" t="str">
        <f>IF(Инвентаризация!C34="","",Инвентаризация!D34)</f>
        <v/>
      </c>
      <c r="D34" s="11" t="str">
        <f>IF(Инвентаризация!C34="","",Инвентаризация!E34)</f>
        <v/>
      </c>
      <c r="E34" s="12" t="str">
        <f>IF(Инвентаризация!C34="","",Инвентаризация!F34)</f>
        <v/>
      </c>
      <c r="F34" s="12" t="str">
        <f>IF(Инвентаризация!C34="","",Инвентаризация!G34)</f>
        <v/>
      </c>
      <c r="G34" s="12" t="str">
        <f t="shared" si="0"/>
        <v/>
      </c>
      <c r="H34" s="13" t="str">
        <f t="shared" si="1"/>
        <v/>
      </c>
      <c r="I34" s="12" t="str">
        <f t="shared" si="2"/>
        <v/>
      </c>
      <c r="J34" s="12" t="str">
        <f t="shared" si="3"/>
        <v/>
      </c>
      <c r="K34" s="12" t="str">
        <f t="shared" si="4"/>
        <v/>
      </c>
      <c r="L34" s="10" t="str">
        <f>IF(Инвентаризация!C34="","",Инвентаризация!M34)</f>
        <v/>
      </c>
      <c r="M34" s="10" t="str">
        <f>IF(Инвентаризация!C34="","",Инвентаризация!N34)</f>
        <v/>
      </c>
      <c r="N34" s="10" t="str">
        <f>IF(Инвентаризация!C34="","",Инвентаризация!O34)</f>
        <v/>
      </c>
      <c r="O34" s="10" t="str">
        <f>IF(Инвентаризация!C34="","",Инвентаризация!P34)</f>
        <v/>
      </c>
      <c r="P34" s="8" t="str">
        <f>IF(Инвентаризация!C34="","",Инвентаризация!Q34)</f>
        <v/>
      </c>
    </row>
    <row r="35" spans="1:16">
      <c r="A35" s="10" t="str">
        <f>IF(Инвентаризация!C35="","",Инвентаризация!B35)</f>
        <v/>
      </c>
      <c r="B35" s="10" t="str">
        <f>IF(Инвентаризация!C35="","",Инвентаризация!C35)</f>
        <v/>
      </c>
      <c r="C35" s="5" t="str">
        <f>IF(Инвентаризация!C35="","",Инвентаризация!D35)</f>
        <v/>
      </c>
      <c r="D35" s="11" t="str">
        <f>IF(Инвентаризация!C35="","",Инвентаризация!E35)</f>
        <v/>
      </c>
      <c r="E35" s="12" t="str">
        <f>IF(Инвентаризация!C35="","",Инвентаризация!F35)</f>
        <v/>
      </c>
      <c r="F35" s="12" t="str">
        <f>IF(Инвентаризация!C35="","",Инвентаризация!G35)</f>
        <v/>
      </c>
      <c r="G35" s="12" t="str">
        <f t="shared" si="0"/>
        <v/>
      </c>
      <c r="H35" s="13" t="str">
        <f t="shared" si="1"/>
        <v/>
      </c>
      <c r="I35" s="12" t="str">
        <f t="shared" si="2"/>
        <v/>
      </c>
      <c r="J35" s="12" t="str">
        <f t="shared" si="3"/>
        <v/>
      </c>
      <c r="K35" s="12" t="str">
        <f t="shared" si="4"/>
        <v/>
      </c>
      <c r="L35" s="10" t="str">
        <f>IF(Инвентаризация!C35="","",Инвентаризация!M35)</f>
        <v/>
      </c>
      <c r="M35" s="10" t="str">
        <f>IF(Инвентаризация!C35="","",Инвентаризация!N35)</f>
        <v/>
      </c>
      <c r="N35" s="10" t="str">
        <f>IF(Инвентаризация!C35="","",Инвентаризация!O35)</f>
        <v/>
      </c>
      <c r="O35" s="10" t="str">
        <f>IF(Инвентаризация!C35="","",Инвентаризация!P35)</f>
        <v/>
      </c>
      <c r="P35" s="8" t="str">
        <f>IF(Инвентаризация!C35="","",Инвентаризация!Q35)</f>
        <v/>
      </c>
    </row>
    <row r="36" spans="1:16">
      <c r="A36" s="10" t="str">
        <f>IF(Инвентаризация!C36="","",Инвентаризация!B36)</f>
        <v/>
      </c>
      <c r="B36" s="10" t="str">
        <f>IF(Инвентаризация!C36="","",Инвентаризация!C36)</f>
        <v/>
      </c>
      <c r="C36" s="5" t="str">
        <f>IF(Инвентаризация!C36="","",Инвентаризация!D36)</f>
        <v/>
      </c>
      <c r="D36" s="11" t="str">
        <f>IF(Инвентаризация!C36="","",Инвентаризация!E36)</f>
        <v/>
      </c>
      <c r="E36" s="12" t="str">
        <f>IF(Инвентаризация!C36="","",Инвентаризация!F36)</f>
        <v/>
      </c>
      <c r="F36" s="12" t="str">
        <f>IF(Инвентаризация!C36="","",Инвентаризация!G36)</f>
        <v/>
      </c>
      <c r="G36" s="12" t="str">
        <f t="shared" si="0"/>
        <v/>
      </c>
      <c r="H36" s="13" t="str">
        <f t="shared" si="1"/>
        <v/>
      </c>
      <c r="I36" s="12" t="str">
        <f t="shared" si="2"/>
        <v/>
      </c>
      <c r="J36" s="12" t="str">
        <f t="shared" si="3"/>
        <v/>
      </c>
      <c r="K36" s="12" t="str">
        <f t="shared" si="4"/>
        <v/>
      </c>
      <c r="L36" s="10" t="str">
        <f>IF(Инвентаризация!C36="","",Инвентаризация!M36)</f>
        <v/>
      </c>
      <c r="M36" s="10" t="str">
        <f>IF(Инвентаризация!C36="","",Инвентаризация!N36)</f>
        <v/>
      </c>
      <c r="N36" s="10" t="str">
        <f>IF(Инвентаризация!C36="","",Инвентаризация!O36)</f>
        <v/>
      </c>
      <c r="O36" s="10" t="str">
        <f>IF(Инвентаризация!C36="","",Инвентаризация!P36)</f>
        <v/>
      </c>
      <c r="P36" s="8" t="str">
        <f>IF(Инвентаризация!C36="","",Инвентаризация!Q36)</f>
        <v/>
      </c>
    </row>
    <row r="37" spans="1:16">
      <c r="A37" s="10" t="str">
        <f>IF(Инвентаризация!C37="","",Инвентаризация!B37)</f>
        <v/>
      </c>
      <c r="B37" s="10" t="str">
        <f>IF(Инвентаризация!C37="","",Инвентаризация!C37)</f>
        <v/>
      </c>
      <c r="C37" s="5" t="str">
        <f>IF(Инвентаризация!C37="","",Инвентаризация!D37)</f>
        <v/>
      </c>
      <c r="D37" s="11" t="str">
        <f>IF(Инвентаризация!C37="","",Инвентаризация!E37)</f>
        <v/>
      </c>
      <c r="E37" s="12" t="str">
        <f>IF(Инвентаризация!C37="","",Инвентаризация!F37)</f>
        <v/>
      </c>
      <c r="F37" s="12" t="str">
        <f>IF(Инвентаризация!C37="","",Инвентаризация!G37)</f>
        <v/>
      </c>
      <c r="G37" s="12" t="str">
        <f t="shared" si="0"/>
        <v/>
      </c>
      <c r="H37" s="13" t="str">
        <f t="shared" si="1"/>
        <v/>
      </c>
      <c r="I37" s="12" t="str">
        <f t="shared" si="2"/>
        <v/>
      </c>
      <c r="J37" s="12" t="str">
        <f t="shared" si="3"/>
        <v/>
      </c>
      <c r="K37" s="12" t="str">
        <f t="shared" si="4"/>
        <v/>
      </c>
      <c r="L37" s="10" t="str">
        <f>IF(Инвентаризация!C37="","",Инвентаризация!M37)</f>
        <v/>
      </c>
      <c r="M37" s="10" t="str">
        <f>IF(Инвентаризация!C37="","",Инвентаризация!N37)</f>
        <v/>
      </c>
      <c r="N37" s="10" t="str">
        <f>IF(Инвентаризация!C37="","",Инвентаризация!O37)</f>
        <v/>
      </c>
      <c r="O37" s="10" t="str">
        <f>IF(Инвентаризация!C37="","",Инвентаризация!P37)</f>
        <v/>
      </c>
      <c r="P37" s="8" t="str">
        <f>IF(Инвентаризация!C37="","",Инвентаризация!Q37)</f>
        <v/>
      </c>
    </row>
    <row r="38" spans="1:16">
      <c r="A38" s="10" t="str">
        <f>IF(Инвентаризация!C38="","",Инвентаризация!B38)</f>
        <v/>
      </c>
      <c r="B38" s="10" t="str">
        <f>IF(Инвентаризация!C38="","",Инвентаризация!C38)</f>
        <v/>
      </c>
      <c r="C38" s="5" t="str">
        <f>IF(Инвентаризация!C38="","",Инвентаризация!D38)</f>
        <v/>
      </c>
      <c r="D38" s="11" t="str">
        <f>IF(Инвентаризация!C38="","",Инвентаризация!E38)</f>
        <v/>
      </c>
      <c r="E38" s="12" t="str">
        <f>IF(Инвентаризация!C38="","",Инвентаризация!F38)</f>
        <v/>
      </c>
      <c r="F38" s="12" t="str">
        <f>IF(Инвентаризация!C38="","",Инвентаризация!G38)</f>
        <v/>
      </c>
      <c r="G38" s="12" t="str">
        <f t="shared" si="0"/>
        <v/>
      </c>
      <c r="H38" s="13" t="str">
        <f t="shared" si="1"/>
        <v/>
      </c>
      <c r="I38" s="12" t="str">
        <f t="shared" si="2"/>
        <v/>
      </c>
      <c r="J38" s="12" t="str">
        <f t="shared" si="3"/>
        <v/>
      </c>
      <c r="K38" s="12" t="str">
        <f t="shared" si="4"/>
        <v/>
      </c>
      <c r="L38" s="10" t="str">
        <f>IF(Инвентаризация!C38="","",Инвентаризация!M38)</f>
        <v/>
      </c>
      <c r="M38" s="10" t="str">
        <f>IF(Инвентаризация!C38="","",Инвентаризация!N38)</f>
        <v/>
      </c>
      <c r="N38" s="10" t="str">
        <f>IF(Инвентаризация!C38="","",Инвентаризация!O38)</f>
        <v/>
      </c>
      <c r="O38" s="10" t="str">
        <f>IF(Инвентаризация!C38="","",Инвентаризация!P38)</f>
        <v/>
      </c>
      <c r="P38" s="8" t="str">
        <f>IF(Инвентаризация!C38="","",Инвентаризация!Q38)</f>
        <v/>
      </c>
    </row>
    <row r="39" spans="1:16">
      <c r="A39" s="10" t="str">
        <f>IF(Инвентаризация!C39="","",Инвентаризация!B39)</f>
        <v/>
      </c>
      <c r="B39" s="10" t="str">
        <f>IF(Инвентаризация!C39="","",Инвентаризация!C39)</f>
        <v/>
      </c>
      <c r="C39" s="5" t="str">
        <f>IF(Инвентаризация!C39="","",Инвентаризация!D39)</f>
        <v/>
      </c>
      <c r="D39" s="11" t="str">
        <f>IF(Инвентаризация!C39="","",Инвентаризация!E39)</f>
        <v/>
      </c>
      <c r="E39" s="12" t="str">
        <f>IF(Инвентаризация!C39="","",Инвентаризация!F39)</f>
        <v/>
      </c>
      <c r="F39" s="12" t="str">
        <f>IF(Инвентаризация!C39="","",Инвентаризация!G39)</f>
        <v/>
      </c>
      <c r="G39" s="12" t="str">
        <f t="shared" si="0"/>
        <v/>
      </c>
      <c r="H39" s="13" t="str">
        <f t="shared" si="1"/>
        <v/>
      </c>
      <c r="I39" s="12" t="str">
        <f t="shared" si="2"/>
        <v/>
      </c>
      <c r="J39" s="12" t="str">
        <f t="shared" si="3"/>
        <v/>
      </c>
      <c r="K39" s="12" t="str">
        <f t="shared" si="4"/>
        <v/>
      </c>
      <c r="L39" s="10" t="str">
        <f>IF(Инвентаризация!C39="","",Инвентаризация!M39)</f>
        <v/>
      </c>
      <c r="M39" s="10" t="str">
        <f>IF(Инвентаризация!C39="","",Инвентаризация!N39)</f>
        <v/>
      </c>
      <c r="N39" s="10" t="str">
        <f>IF(Инвентаризация!C39="","",Инвентаризация!O39)</f>
        <v/>
      </c>
      <c r="O39" s="10" t="str">
        <f>IF(Инвентаризация!C39="","",Инвентаризация!P39)</f>
        <v/>
      </c>
      <c r="P39" s="8" t="str">
        <f>IF(Инвентаризация!C39="","",Инвентаризация!Q39)</f>
        <v/>
      </c>
    </row>
    <row r="40" spans="1:16">
      <c r="A40" s="10" t="str">
        <f>IF(Инвентаризация!C40="","",Инвентаризация!B40)</f>
        <v/>
      </c>
      <c r="B40" s="10" t="str">
        <f>IF(Инвентаризация!C40="","",Инвентаризация!C40)</f>
        <v/>
      </c>
      <c r="C40" s="5" t="str">
        <f>IF(Инвентаризация!C40="","",Инвентаризация!D40)</f>
        <v/>
      </c>
      <c r="D40" s="11" t="str">
        <f>IF(Инвентаризация!C40="","",Инвентаризация!E40)</f>
        <v/>
      </c>
      <c r="E40" s="12" t="str">
        <f>IF(Инвентаризация!C40="","",Инвентаризация!F40)</f>
        <v/>
      </c>
      <c r="F40" s="12" t="str">
        <f>IF(Инвентаризация!C40="","",Инвентаризация!G40)</f>
        <v/>
      </c>
      <c r="G40" s="12" t="str">
        <f t="shared" si="0"/>
        <v/>
      </c>
      <c r="H40" s="13" t="str">
        <f t="shared" si="1"/>
        <v/>
      </c>
      <c r="I40" s="12" t="str">
        <f t="shared" si="2"/>
        <v/>
      </c>
      <c r="J40" s="12" t="str">
        <f t="shared" si="3"/>
        <v/>
      </c>
      <c r="K40" s="12" t="str">
        <f t="shared" si="4"/>
        <v/>
      </c>
      <c r="L40" s="10" t="str">
        <f>IF(Инвентаризация!C40="","",Инвентаризация!M40)</f>
        <v/>
      </c>
      <c r="M40" s="10" t="str">
        <f>IF(Инвентаризация!C40="","",Инвентаризация!N40)</f>
        <v/>
      </c>
      <c r="N40" s="10" t="str">
        <f>IF(Инвентаризация!C40="","",Инвентаризация!O40)</f>
        <v/>
      </c>
      <c r="O40" s="10" t="str">
        <f>IF(Инвентаризация!C40="","",Инвентаризация!P40)</f>
        <v/>
      </c>
      <c r="P40" s="8" t="str">
        <f>IF(Инвентаризация!C40="","",Инвентаризация!Q40)</f>
        <v/>
      </c>
    </row>
    <row r="41" spans="1:16">
      <c r="A41" s="10" t="str">
        <f>IF(Инвентаризация!C41="","",Инвентаризация!B41)</f>
        <v/>
      </c>
      <c r="B41" s="10" t="str">
        <f>IF(Инвентаризация!C41="","",Инвентаризация!C41)</f>
        <v/>
      </c>
      <c r="C41" s="5" t="str">
        <f>IF(Инвентаризация!C41="","",Инвентаризация!D41)</f>
        <v/>
      </c>
      <c r="D41" s="11" t="str">
        <f>IF(Инвентаризация!C41="","",Инвентаризация!E41)</f>
        <v/>
      </c>
      <c r="E41" s="12" t="str">
        <f>IF(Инвентаризация!C41="","",Инвентаризация!F41)</f>
        <v/>
      </c>
      <c r="F41" s="12" t="str">
        <f>IF(Инвентаризация!C41="","",Инвентаризация!G41)</f>
        <v/>
      </c>
      <c r="G41" s="12" t="str">
        <f t="shared" si="0"/>
        <v/>
      </c>
      <c r="H41" s="13" t="str">
        <f t="shared" si="1"/>
        <v/>
      </c>
      <c r="I41" s="12" t="str">
        <f t="shared" si="2"/>
        <v/>
      </c>
      <c r="J41" s="12" t="str">
        <f t="shared" si="3"/>
        <v/>
      </c>
      <c r="K41" s="12" t="str">
        <f t="shared" si="4"/>
        <v/>
      </c>
      <c r="L41" s="10" t="str">
        <f>IF(Инвентаризация!C41="","",Инвентаризация!M41)</f>
        <v/>
      </c>
      <c r="M41" s="10" t="str">
        <f>IF(Инвентаризация!C41="","",Инвентаризация!N41)</f>
        <v/>
      </c>
      <c r="N41" s="10" t="str">
        <f>IF(Инвентаризация!C41="","",Инвентаризация!O41)</f>
        <v/>
      </c>
      <c r="O41" s="10" t="str">
        <f>IF(Инвентаризация!C41="","",Инвентаризация!P41)</f>
        <v/>
      </c>
      <c r="P41" s="8" t="str">
        <f>IF(Инвентаризация!C41="","",Инвентаризация!Q41)</f>
        <v/>
      </c>
    </row>
    <row r="42" spans="1:16">
      <c r="A42" s="10" t="str">
        <f>IF(Инвентаризация!C42="","",Инвентаризация!B42)</f>
        <v/>
      </c>
      <c r="B42" s="10" t="str">
        <f>IF(Инвентаризация!C42="","",Инвентаризация!C42)</f>
        <v/>
      </c>
      <c r="C42" s="5" t="str">
        <f>IF(Инвентаризация!C42="","",Инвентаризация!D42)</f>
        <v/>
      </c>
      <c r="D42" s="11" t="str">
        <f>IF(Инвентаризация!C42="","",Инвентаризация!E42)</f>
        <v/>
      </c>
      <c r="E42" s="12" t="str">
        <f>IF(Инвентаризация!C42="","",Инвентаризация!F42)</f>
        <v/>
      </c>
      <c r="F42" s="12" t="str">
        <f>IF(Инвентаризация!C42="","",Инвентаризация!G42)</f>
        <v/>
      </c>
      <c r="G42" s="12" t="str">
        <f t="shared" si="0"/>
        <v/>
      </c>
      <c r="H42" s="13" t="str">
        <f t="shared" si="1"/>
        <v/>
      </c>
      <c r="I42" s="12" t="str">
        <f t="shared" si="2"/>
        <v/>
      </c>
      <c r="J42" s="12" t="str">
        <f t="shared" si="3"/>
        <v/>
      </c>
      <c r="K42" s="12" t="str">
        <f t="shared" si="4"/>
        <v/>
      </c>
      <c r="L42" s="10" t="str">
        <f>IF(Инвентаризация!C42="","",Инвентаризация!M42)</f>
        <v/>
      </c>
      <c r="M42" s="10" t="str">
        <f>IF(Инвентаризация!C42="","",Инвентаризация!N42)</f>
        <v/>
      </c>
      <c r="N42" s="10" t="str">
        <f>IF(Инвентаризация!C42="","",Инвентаризация!O42)</f>
        <v/>
      </c>
      <c r="O42" s="10" t="str">
        <f>IF(Инвентаризация!C42="","",Инвентаризация!P42)</f>
        <v/>
      </c>
      <c r="P42" s="8" t="str">
        <f>IF(Инвентаризация!C42="","",Инвентаризация!Q42)</f>
        <v/>
      </c>
    </row>
    <row r="43" spans="1:16">
      <c r="A43" s="10" t="str">
        <f>IF(Инвентаризация!C43="","",Инвентаризация!B43)</f>
        <v/>
      </c>
      <c r="B43" s="10" t="str">
        <f>IF(Инвентаризация!C43="","",Инвентаризация!C43)</f>
        <v/>
      </c>
      <c r="C43" s="5" t="str">
        <f>IF(Инвентаризация!C43="","",Инвентаризация!D43)</f>
        <v/>
      </c>
      <c r="D43" s="11" t="str">
        <f>IF(Инвентаризация!C43="","",Инвентаризация!E43)</f>
        <v/>
      </c>
      <c r="E43" s="12" t="str">
        <f>IF(Инвентаризация!C43="","",Инвентаризация!F43)</f>
        <v/>
      </c>
      <c r="F43" s="12" t="str">
        <f>IF(Инвентаризация!C43="","",Инвентаризация!G43)</f>
        <v/>
      </c>
      <c r="G43" s="12" t="str">
        <f t="shared" si="0"/>
        <v/>
      </c>
      <c r="H43" s="13" t="str">
        <f t="shared" si="1"/>
        <v/>
      </c>
      <c r="I43" s="12" t="str">
        <f t="shared" si="2"/>
        <v/>
      </c>
      <c r="J43" s="12" t="str">
        <f t="shared" si="3"/>
        <v/>
      </c>
      <c r="K43" s="12" t="str">
        <f t="shared" si="4"/>
        <v/>
      </c>
      <c r="L43" s="10" t="str">
        <f>IF(Инвентаризация!C43="","",Инвентаризация!M43)</f>
        <v/>
      </c>
      <c r="M43" s="10" t="str">
        <f>IF(Инвентаризация!C43="","",Инвентаризация!N43)</f>
        <v/>
      </c>
      <c r="N43" s="10" t="str">
        <f>IF(Инвентаризация!C43="","",Инвентаризация!O43)</f>
        <v/>
      </c>
      <c r="O43" s="10" t="str">
        <f>IF(Инвентаризация!C43="","",Инвентаризация!P43)</f>
        <v/>
      </c>
      <c r="P43" s="8" t="str">
        <f>IF(Инвентаризация!C43="","",Инвентаризация!Q43)</f>
        <v/>
      </c>
    </row>
    <row r="44" spans="1:16">
      <c r="A44" s="10" t="str">
        <f>IF(Инвентаризация!C44="","",Инвентаризация!B44)</f>
        <v/>
      </c>
      <c r="B44" s="10" t="str">
        <f>IF(Инвентаризация!C44="","",Инвентаризация!C44)</f>
        <v/>
      </c>
      <c r="C44" s="5" t="str">
        <f>IF(Инвентаризация!C44="","",Инвентаризация!D44)</f>
        <v/>
      </c>
      <c r="D44" s="11" t="str">
        <f>IF(Инвентаризация!C44="","",Инвентаризация!E44)</f>
        <v/>
      </c>
      <c r="E44" s="12" t="str">
        <f>IF(Инвентаризация!C44="","",Инвентаризация!F44)</f>
        <v/>
      </c>
      <c r="F44" s="12" t="str">
        <f>IF(Инвентаризация!C44="","",Инвентаризация!G44)</f>
        <v/>
      </c>
      <c r="G44" s="12" t="str">
        <f t="shared" si="0"/>
        <v/>
      </c>
      <c r="H44" s="13" t="str">
        <f t="shared" si="1"/>
        <v/>
      </c>
      <c r="I44" s="12" t="str">
        <f t="shared" si="2"/>
        <v/>
      </c>
      <c r="J44" s="12" t="str">
        <f t="shared" si="3"/>
        <v/>
      </c>
      <c r="K44" s="12" t="str">
        <f t="shared" si="4"/>
        <v/>
      </c>
      <c r="L44" s="10" t="str">
        <f>IF(Инвентаризация!C44="","",Инвентаризация!M44)</f>
        <v/>
      </c>
      <c r="M44" s="10" t="str">
        <f>IF(Инвентаризация!C44="","",Инвентаризация!N44)</f>
        <v/>
      </c>
      <c r="N44" s="10" t="str">
        <f>IF(Инвентаризация!C44="","",Инвентаризация!O44)</f>
        <v/>
      </c>
      <c r="O44" s="10" t="str">
        <f>IF(Инвентаризация!C44="","",Инвентаризация!P44)</f>
        <v/>
      </c>
      <c r="P44" s="8" t="str">
        <f>IF(Инвентаризация!C44="","",Инвентаризация!Q44)</f>
        <v/>
      </c>
    </row>
    <row r="45" spans="1:16">
      <c r="A45" s="10" t="str">
        <f>IF(Инвентаризация!C45="","",Инвентаризация!B45)</f>
        <v/>
      </c>
      <c r="B45" s="10" t="str">
        <f>IF(Инвентаризация!C45="","",Инвентаризация!C45)</f>
        <v/>
      </c>
      <c r="C45" s="5" t="str">
        <f>IF(Инвентаризация!C45="","",Инвентаризация!D45)</f>
        <v/>
      </c>
      <c r="D45" s="11" t="str">
        <f>IF(Инвентаризация!C45="","",Инвентаризация!E45)</f>
        <v/>
      </c>
      <c r="E45" s="12" t="str">
        <f>IF(Инвентаризация!C45="","",Инвентаризация!F45)</f>
        <v/>
      </c>
      <c r="F45" s="12" t="str">
        <f>IF(Инвентаризация!C45="","",Инвентаризация!G45)</f>
        <v/>
      </c>
      <c r="G45" s="12" t="str">
        <f t="shared" si="0"/>
        <v/>
      </c>
      <c r="H45" s="13" t="str">
        <f t="shared" si="1"/>
        <v/>
      </c>
      <c r="I45" s="12" t="str">
        <f t="shared" si="2"/>
        <v/>
      </c>
      <c r="J45" s="12" t="str">
        <f t="shared" si="3"/>
        <v/>
      </c>
      <c r="K45" s="12" t="str">
        <f t="shared" si="4"/>
        <v/>
      </c>
      <c r="L45" s="10" t="str">
        <f>IF(Инвентаризация!C45="","",Инвентаризация!M45)</f>
        <v/>
      </c>
      <c r="M45" s="10" t="str">
        <f>IF(Инвентаризация!C45="","",Инвентаризация!N45)</f>
        <v/>
      </c>
      <c r="N45" s="10" t="str">
        <f>IF(Инвентаризация!C45="","",Инвентаризация!O45)</f>
        <v/>
      </c>
      <c r="O45" s="10" t="str">
        <f>IF(Инвентаризация!C45="","",Инвентаризация!P45)</f>
        <v/>
      </c>
      <c r="P45" s="8" t="str">
        <f>IF(Инвентаризация!C45="","",Инвентаризация!Q45)</f>
        <v/>
      </c>
    </row>
    <row r="46" spans="1:16">
      <c r="A46" s="10" t="str">
        <f>IF(Инвентаризация!C46="","",Инвентаризация!B46)</f>
        <v/>
      </c>
      <c r="B46" s="10" t="str">
        <f>IF(Инвентаризация!C46="","",Инвентаризация!C46)</f>
        <v/>
      </c>
      <c r="C46" s="5" t="str">
        <f>IF(Инвентаризация!C46="","",Инвентаризация!D46)</f>
        <v/>
      </c>
      <c r="D46" s="11" t="str">
        <f>IF(Инвентаризация!C46="","",Инвентаризация!E46)</f>
        <v/>
      </c>
      <c r="E46" s="12" t="str">
        <f>IF(Инвентаризация!C46="","",Инвентаризация!F46)</f>
        <v/>
      </c>
      <c r="F46" s="12" t="str">
        <f>IF(Инвентаризация!C46="","",Инвентаризация!G46)</f>
        <v/>
      </c>
      <c r="G46" s="12" t="str">
        <f t="shared" si="0"/>
        <v/>
      </c>
      <c r="H46" s="13" t="str">
        <f t="shared" si="1"/>
        <v/>
      </c>
      <c r="I46" s="12" t="str">
        <f t="shared" si="2"/>
        <v/>
      </c>
      <c r="J46" s="12" t="str">
        <f t="shared" si="3"/>
        <v/>
      </c>
      <c r="K46" s="12" t="str">
        <f t="shared" si="4"/>
        <v/>
      </c>
      <c r="L46" s="10" t="str">
        <f>IF(Инвентаризация!C46="","",Инвентаризация!M46)</f>
        <v/>
      </c>
      <c r="M46" s="10" t="str">
        <f>IF(Инвентаризация!C46="","",Инвентаризация!N46)</f>
        <v/>
      </c>
      <c r="N46" s="10" t="str">
        <f>IF(Инвентаризация!C46="","",Инвентаризация!O46)</f>
        <v/>
      </c>
      <c r="O46" s="10" t="str">
        <f>IF(Инвентаризация!C46="","",Инвентаризация!P46)</f>
        <v/>
      </c>
      <c r="P46" s="8" t="str">
        <f>IF(Инвентаризация!C46="","",Инвентаризация!Q46)</f>
        <v/>
      </c>
    </row>
    <row r="47" spans="1:16">
      <c r="A47" s="10" t="str">
        <f>IF(Инвентаризация!C47="","",Инвентаризация!B47)</f>
        <v/>
      </c>
      <c r="B47" s="10" t="str">
        <f>IF(Инвентаризация!C47="","",Инвентаризация!C47)</f>
        <v/>
      </c>
      <c r="C47" s="5" t="str">
        <f>IF(Инвентаризация!C47="","",Инвентаризация!D47)</f>
        <v/>
      </c>
      <c r="D47" s="11" t="str">
        <f>IF(Инвентаризация!C47="","",Инвентаризация!E47)</f>
        <v/>
      </c>
      <c r="E47" s="12" t="str">
        <f>IF(Инвентаризация!C47="","",Инвентаризация!F47)</f>
        <v/>
      </c>
      <c r="F47" s="12" t="str">
        <f>IF(Инвентаризация!C47="","",Инвентаризация!G47)</f>
        <v/>
      </c>
      <c r="G47" s="12" t="str">
        <f t="shared" si="0"/>
        <v/>
      </c>
      <c r="H47" s="13" t="str">
        <f t="shared" si="1"/>
        <v/>
      </c>
      <c r="I47" s="12" t="str">
        <f t="shared" si="2"/>
        <v/>
      </c>
      <c r="J47" s="12" t="str">
        <f t="shared" si="3"/>
        <v/>
      </c>
      <c r="K47" s="12" t="str">
        <f t="shared" si="4"/>
        <v/>
      </c>
      <c r="L47" s="10" t="str">
        <f>IF(Инвентаризация!C47="","",Инвентаризация!M47)</f>
        <v/>
      </c>
      <c r="M47" s="10" t="str">
        <f>IF(Инвентаризация!C47="","",Инвентаризация!N47)</f>
        <v/>
      </c>
      <c r="N47" s="10" t="str">
        <f>IF(Инвентаризация!C47="","",Инвентаризация!O47)</f>
        <v/>
      </c>
      <c r="O47" s="10" t="str">
        <f>IF(Инвентаризация!C47="","",Инвентаризация!P47)</f>
        <v/>
      </c>
      <c r="P47" s="8" t="str">
        <f>IF(Инвентаризация!C47="","",Инвентаризация!Q47)</f>
        <v/>
      </c>
    </row>
    <row r="48" spans="1:16">
      <c r="A48" s="10" t="str">
        <f>IF(Инвентаризация!C48="","",Инвентаризация!B48)</f>
        <v/>
      </c>
      <c r="B48" s="10" t="str">
        <f>IF(Инвентаризация!C48="","",Инвентаризация!C48)</f>
        <v/>
      </c>
      <c r="C48" s="5" t="str">
        <f>IF(Инвентаризация!C48="","",Инвентаризация!D48)</f>
        <v/>
      </c>
      <c r="D48" s="11" t="str">
        <f>IF(Инвентаризация!C48="","",Инвентаризация!E48)</f>
        <v/>
      </c>
      <c r="E48" s="12" t="str">
        <f>IF(Инвентаризация!C48="","",Инвентаризация!F48)</f>
        <v/>
      </c>
      <c r="F48" s="12" t="str">
        <f>IF(Инвентаризация!C48="","",Инвентаризация!G48)</f>
        <v/>
      </c>
      <c r="G48" s="12" t="str">
        <f t="shared" si="0"/>
        <v/>
      </c>
      <c r="H48" s="13" t="str">
        <f t="shared" si="1"/>
        <v/>
      </c>
      <c r="I48" s="12" t="str">
        <f t="shared" si="2"/>
        <v/>
      </c>
      <c r="J48" s="12" t="str">
        <f t="shared" si="3"/>
        <v/>
      </c>
      <c r="K48" s="12" t="str">
        <f t="shared" si="4"/>
        <v/>
      </c>
      <c r="L48" s="10" t="str">
        <f>IF(Инвентаризация!C48="","",Инвентаризация!M48)</f>
        <v/>
      </c>
      <c r="M48" s="10" t="str">
        <f>IF(Инвентаризация!C48="","",Инвентаризация!N48)</f>
        <v/>
      </c>
      <c r="N48" s="10" t="str">
        <f>IF(Инвентаризация!C48="","",Инвентаризация!O48)</f>
        <v/>
      </c>
      <c r="O48" s="10" t="str">
        <f>IF(Инвентаризация!C48="","",Инвентаризация!P48)</f>
        <v/>
      </c>
      <c r="P48" s="8" t="str">
        <f>IF(Инвентаризация!C48="","",Инвентаризация!Q48)</f>
        <v/>
      </c>
    </row>
    <row r="49" spans="1:16">
      <c r="A49" s="10" t="str">
        <f>IF(Инвентаризация!C49="","",Инвентаризация!B49)</f>
        <v/>
      </c>
      <c r="B49" s="10" t="str">
        <f>IF(Инвентаризация!C49="","",Инвентаризация!C49)</f>
        <v/>
      </c>
      <c r="C49" s="5" t="str">
        <f>IF(Инвентаризация!C49="","",Инвентаризация!D49)</f>
        <v/>
      </c>
      <c r="D49" s="11" t="str">
        <f>IF(Инвентаризация!C49="","",Инвентаризация!E49)</f>
        <v/>
      </c>
      <c r="E49" s="12" t="str">
        <f>IF(Инвентаризация!C49="","",Инвентаризация!F49)</f>
        <v/>
      </c>
      <c r="F49" s="12" t="str">
        <f>IF(Инвентаризация!C49="","",Инвентаризация!G49)</f>
        <v/>
      </c>
      <c r="G49" s="12" t="str">
        <f t="shared" si="0"/>
        <v/>
      </c>
      <c r="H49" s="13" t="str">
        <f t="shared" si="1"/>
        <v/>
      </c>
      <c r="I49" s="12" t="str">
        <f t="shared" si="2"/>
        <v/>
      </c>
      <c r="J49" s="12" t="str">
        <f t="shared" si="3"/>
        <v/>
      </c>
      <c r="K49" s="12" t="str">
        <f t="shared" si="4"/>
        <v/>
      </c>
      <c r="L49" s="10" t="str">
        <f>IF(Инвентаризация!C49="","",Инвентаризация!M49)</f>
        <v/>
      </c>
      <c r="M49" s="10" t="str">
        <f>IF(Инвентаризация!C49="","",Инвентаризация!N49)</f>
        <v/>
      </c>
      <c r="N49" s="10" t="str">
        <f>IF(Инвентаризация!C49="","",Инвентаризация!O49)</f>
        <v/>
      </c>
      <c r="O49" s="10" t="str">
        <f>IF(Инвентаризация!C49="","",Инвентаризация!P49)</f>
        <v/>
      </c>
      <c r="P49" s="8" t="str">
        <f>IF(Инвентаризация!C49="","",Инвентаризация!Q49)</f>
        <v/>
      </c>
    </row>
    <row r="50" spans="1:16">
      <c r="A50" s="10" t="str">
        <f>IF(Инвентаризация!C50="","",Инвентаризация!B50)</f>
        <v/>
      </c>
      <c r="B50" s="10" t="str">
        <f>IF(Инвентаризация!C50="","",Инвентаризация!C50)</f>
        <v/>
      </c>
      <c r="C50" s="5" t="str">
        <f>IF(Инвентаризация!C50="","",Инвентаризация!D50)</f>
        <v/>
      </c>
      <c r="D50" s="11" t="str">
        <f>IF(Инвентаризация!C50="","",Инвентаризация!E50)</f>
        <v/>
      </c>
      <c r="E50" s="12" t="str">
        <f>IF(Инвентаризация!C50="","",Инвентаризация!F50)</f>
        <v/>
      </c>
      <c r="F50" s="12" t="str">
        <f>IF(Инвентаризация!C50="","",Инвентаризация!G50)</f>
        <v/>
      </c>
      <c r="G50" s="12" t="str">
        <f t="shared" si="0"/>
        <v/>
      </c>
      <c r="H50" s="13" t="str">
        <f t="shared" si="1"/>
        <v/>
      </c>
      <c r="I50" s="12" t="str">
        <f t="shared" si="2"/>
        <v/>
      </c>
      <c r="J50" s="12" t="str">
        <f t="shared" si="3"/>
        <v/>
      </c>
      <c r="K50" s="12" t="str">
        <f t="shared" si="4"/>
        <v/>
      </c>
      <c r="L50" s="10" t="str">
        <f>IF(Инвентаризация!C50="","",Инвентаризация!M50)</f>
        <v/>
      </c>
      <c r="M50" s="10" t="str">
        <f>IF(Инвентаризация!C50="","",Инвентаризация!N50)</f>
        <v/>
      </c>
      <c r="N50" s="10" t="str">
        <f>IF(Инвентаризация!C50="","",Инвентаризация!O50)</f>
        <v/>
      </c>
      <c r="O50" s="10" t="str">
        <f>IF(Инвентаризация!C50="","",Инвентаризация!P50)</f>
        <v/>
      </c>
      <c r="P50" s="8" t="str">
        <f>IF(Инвентаризация!C50="","",Инвентаризация!Q50)</f>
        <v/>
      </c>
    </row>
    <row r="51" spans="1:16">
      <c r="A51" s="10" t="str">
        <f>IF(Инвентаризация!C51="","",Инвентаризация!B51)</f>
        <v/>
      </c>
      <c r="B51" s="10" t="str">
        <f>IF(Инвентаризация!C51="","",Инвентаризация!C51)</f>
        <v/>
      </c>
      <c r="C51" s="5" t="str">
        <f>IF(Инвентаризация!C51="","",Инвентаризация!D51)</f>
        <v/>
      </c>
      <c r="D51" s="11" t="str">
        <f>IF(Инвентаризация!C51="","",Инвентаризация!E51)</f>
        <v/>
      </c>
      <c r="E51" s="12" t="str">
        <f>IF(Инвентаризация!C51="","",Инвентаризация!F51)</f>
        <v/>
      </c>
      <c r="F51" s="12" t="str">
        <f>IF(Инвентаризация!C51="","",Инвентаризация!G51)</f>
        <v/>
      </c>
      <c r="G51" s="12" t="str">
        <f t="shared" si="0"/>
        <v/>
      </c>
      <c r="H51" s="13" t="str">
        <f t="shared" si="1"/>
        <v/>
      </c>
      <c r="I51" s="12" t="str">
        <f t="shared" si="2"/>
        <v/>
      </c>
      <c r="J51" s="12" t="str">
        <f t="shared" si="3"/>
        <v/>
      </c>
      <c r="K51" s="12" t="str">
        <f t="shared" si="4"/>
        <v/>
      </c>
      <c r="L51" s="10" t="str">
        <f>IF(Инвентаризация!C51="","",Инвентаризация!M51)</f>
        <v/>
      </c>
      <c r="M51" s="10" t="str">
        <f>IF(Инвентаризация!C51="","",Инвентаризация!N51)</f>
        <v/>
      </c>
      <c r="N51" s="10" t="str">
        <f>IF(Инвентаризация!C51="","",Инвентаризация!O51)</f>
        <v/>
      </c>
      <c r="O51" s="10" t="str">
        <f>IF(Инвентаризация!C51="","",Инвентаризация!P51)</f>
        <v/>
      </c>
      <c r="P51" s="8" t="str">
        <f>IF(Инвентаризация!C51="","",Инвентаризация!Q51)</f>
        <v/>
      </c>
    </row>
    <row r="52" spans="1:16">
      <c r="A52" s="10" t="str">
        <f>IF(Инвентаризация!C52="","",Инвентаризация!B52)</f>
        <v/>
      </c>
      <c r="B52" s="10" t="str">
        <f>IF(Инвентаризация!C52="","",Инвентаризация!C52)</f>
        <v/>
      </c>
      <c r="C52" s="5" t="str">
        <f>IF(Инвентаризация!C52="","",Инвентаризация!D52)</f>
        <v/>
      </c>
      <c r="D52" s="11" t="str">
        <f>IF(Инвентаризация!C52="","",Инвентаризация!E52)</f>
        <v/>
      </c>
      <c r="E52" s="12" t="str">
        <f>IF(Инвентаризация!C52="","",Инвентаризация!F52)</f>
        <v/>
      </c>
      <c r="F52" s="12" t="str">
        <f>IF(Инвентаризация!C52="","",Инвентаризация!G52)</f>
        <v/>
      </c>
      <c r="G52" s="12" t="str">
        <f t="shared" si="0"/>
        <v/>
      </c>
      <c r="H52" s="13" t="str">
        <f t="shared" si="1"/>
        <v/>
      </c>
      <c r="I52" s="12" t="str">
        <f t="shared" si="2"/>
        <v/>
      </c>
      <c r="J52" s="12" t="str">
        <f t="shared" si="3"/>
        <v/>
      </c>
      <c r="K52" s="12" t="str">
        <f t="shared" si="4"/>
        <v/>
      </c>
      <c r="L52" s="10" t="str">
        <f>IF(Инвентаризация!C52="","",Инвентаризация!M52)</f>
        <v/>
      </c>
      <c r="M52" s="10" t="str">
        <f>IF(Инвентаризация!C52="","",Инвентаризация!N52)</f>
        <v/>
      </c>
      <c r="N52" s="10" t="str">
        <f>IF(Инвентаризация!C52="","",Инвентаризация!O52)</f>
        <v/>
      </c>
      <c r="O52" s="10" t="str">
        <f>IF(Инвентаризация!C52="","",Инвентаризация!P52)</f>
        <v/>
      </c>
      <c r="P52" s="8" t="str">
        <f>IF(Инвентаризация!C52="","",Инвентаризация!Q52)</f>
        <v/>
      </c>
    </row>
    <row r="53" spans="1:16">
      <c r="A53" s="10" t="str">
        <f>IF(Инвентаризация!C53="","",Инвентаризация!B53)</f>
        <v/>
      </c>
      <c r="B53" s="10" t="str">
        <f>IF(Инвентаризация!C53="","",Инвентаризация!C53)</f>
        <v/>
      </c>
      <c r="C53" s="5" t="str">
        <f>IF(Инвентаризация!C53="","",Инвентаризация!D53)</f>
        <v/>
      </c>
      <c r="D53" s="11" t="str">
        <f>IF(Инвентаризация!C53="","",Инвентаризация!E53)</f>
        <v/>
      </c>
      <c r="E53" s="12" t="str">
        <f>IF(Инвентаризация!C53="","",Инвентаризация!F53)</f>
        <v/>
      </c>
      <c r="F53" s="12" t="str">
        <f>IF(Инвентаризация!C53="","",Инвентаризация!G53)</f>
        <v/>
      </c>
      <c r="G53" s="12" t="str">
        <f t="shared" si="0"/>
        <v/>
      </c>
      <c r="H53" s="13" t="str">
        <f t="shared" si="1"/>
        <v/>
      </c>
      <c r="I53" s="12" t="str">
        <f t="shared" si="2"/>
        <v/>
      </c>
      <c r="J53" s="12" t="str">
        <f t="shared" si="3"/>
        <v/>
      </c>
      <c r="K53" s="12" t="str">
        <f t="shared" si="4"/>
        <v/>
      </c>
      <c r="L53" s="10" t="str">
        <f>IF(Инвентаризация!C53="","",Инвентаризация!M53)</f>
        <v/>
      </c>
      <c r="M53" s="10" t="str">
        <f>IF(Инвентаризация!C53="","",Инвентаризация!N53)</f>
        <v/>
      </c>
      <c r="N53" s="10" t="str">
        <f>IF(Инвентаризация!C53="","",Инвентаризация!O53)</f>
        <v/>
      </c>
      <c r="O53" s="10" t="str">
        <f>IF(Инвентаризация!C53="","",Инвентаризация!P53)</f>
        <v/>
      </c>
      <c r="P53" s="8" t="str">
        <f>IF(Инвентаризация!C53="","",Инвентаризация!Q53)</f>
        <v/>
      </c>
    </row>
    <row r="54" spans="1:16">
      <c r="A54" s="10" t="str">
        <f>IF(Инвентаризация!C54="","",Инвентаризация!B54)</f>
        <v/>
      </c>
      <c r="B54" s="10" t="str">
        <f>IF(Инвентаризация!C54="","",Инвентаризация!C54)</f>
        <v/>
      </c>
      <c r="C54" s="5" t="str">
        <f>IF(Инвентаризация!C54="","",Инвентаризация!D54)</f>
        <v/>
      </c>
      <c r="D54" s="11" t="str">
        <f>IF(Инвентаризация!C54="","",Инвентаризация!E54)</f>
        <v/>
      </c>
      <c r="E54" s="12" t="str">
        <f>IF(Инвентаризация!C54="","",Инвентаризация!F54)</f>
        <v/>
      </c>
      <c r="F54" s="12" t="str">
        <f>IF(Инвентаризация!C54="","",Инвентаризация!G54)</f>
        <v/>
      </c>
      <c r="G54" s="12" t="str">
        <f t="shared" si="0"/>
        <v/>
      </c>
      <c r="H54" s="13" t="str">
        <f t="shared" si="1"/>
        <v/>
      </c>
      <c r="I54" s="12" t="str">
        <f t="shared" si="2"/>
        <v/>
      </c>
      <c r="J54" s="12" t="str">
        <f t="shared" si="3"/>
        <v/>
      </c>
      <c r="K54" s="12" t="str">
        <f t="shared" si="4"/>
        <v/>
      </c>
      <c r="L54" s="10" t="str">
        <f>IF(Инвентаризация!C54="","",Инвентаризация!M54)</f>
        <v/>
      </c>
      <c r="M54" s="10" t="str">
        <f>IF(Инвентаризация!C54="","",Инвентаризация!N54)</f>
        <v/>
      </c>
      <c r="N54" s="10" t="str">
        <f>IF(Инвентаризация!C54="","",Инвентаризация!O54)</f>
        <v/>
      </c>
      <c r="O54" s="10" t="str">
        <f>IF(Инвентаризация!C54="","",Инвентаризация!P54)</f>
        <v/>
      </c>
      <c r="P54" s="8" t="str">
        <f>IF(Инвентаризация!C54="","",Инвентаризация!Q54)</f>
        <v/>
      </c>
    </row>
    <row r="55" spans="1:16">
      <c r="A55" s="10" t="str">
        <f>IF(Инвентаризация!C55="","",Инвентаризация!B55)</f>
        <v/>
      </c>
      <c r="B55" s="10" t="str">
        <f>IF(Инвентаризация!C55="","",Инвентаризация!C55)</f>
        <v/>
      </c>
      <c r="C55" s="5" t="str">
        <f>IF(Инвентаризация!C55="","",Инвентаризация!D55)</f>
        <v/>
      </c>
      <c r="D55" s="11" t="str">
        <f>IF(Инвентаризация!C55="","",Инвентаризация!E55)</f>
        <v/>
      </c>
      <c r="E55" s="12" t="str">
        <f>IF(Инвентаризация!C55="","",Инвентаризация!F55)</f>
        <v/>
      </c>
      <c r="F55" s="12" t="str">
        <f>IF(Инвентаризация!C55="","",Инвентаризация!G55)</f>
        <v/>
      </c>
      <c r="G55" s="12" t="str">
        <f t="shared" si="0"/>
        <v/>
      </c>
      <c r="H55" s="13" t="str">
        <f t="shared" si="1"/>
        <v/>
      </c>
      <c r="I55" s="12" t="str">
        <f t="shared" si="2"/>
        <v/>
      </c>
      <c r="J55" s="12" t="str">
        <f t="shared" si="3"/>
        <v/>
      </c>
      <c r="K55" s="12" t="str">
        <f t="shared" si="4"/>
        <v/>
      </c>
      <c r="L55" s="10" t="str">
        <f>IF(Инвентаризация!C55="","",Инвентаризация!M55)</f>
        <v/>
      </c>
      <c r="M55" s="10" t="str">
        <f>IF(Инвентаризация!C55="","",Инвентаризация!N55)</f>
        <v/>
      </c>
      <c r="N55" s="10" t="str">
        <f>IF(Инвентаризация!C55="","",Инвентаризация!O55)</f>
        <v/>
      </c>
      <c r="O55" s="10" t="str">
        <f>IF(Инвентаризация!C55="","",Инвентаризация!P55)</f>
        <v/>
      </c>
      <c r="P55" s="8" t="str">
        <f>IF(Инвентаризация!C55="","",Инвентаризация!Q55)</f>
        <v/>
      </c>
    </row>
    <row r="56" spans="1:16">
      <c r="A56" s="10" t="str">
        <f>IF(Инвентаризация!C56="","",Инвентаризация!B56)</f>
        <v/>
      </c>
      <c r="B56" s="10" t="str">
        <f>IF(Инвентаризация!C56="","",Инвентаризация!C56)</f>
        <v/>
      </c>
      <c r="C56" s="5" t="str">
        <f>IF(Инвентаризация!C56="","",Инвентаризация!D56)</f>
        <v/>
      </c>
      <c r="D56" s="11" t="str">
        <f>IF(Инвентаризация!C56="","",Инвентаризация!E56)</f>
        <v/>
      </c>
      <c r="E56" s="12" t="str">
        <f>IF(Инвентаризация!C56="","",Инвентаризация!F56)</f>
        <v/>
      </c>
      <c r="F56" s="12" t="str">
        <f>IF(Инвентаризация!C56="","",Инвентаризация!G56)</f>
        <v/>
      </c>
      <c r="G56" s="12" t="str">
        <f t="shared" si="0"/>
        <v/>
      </c>
      <c r="H56" s="13" t="str">
        <f t="shared" si="1"/>
        <v/>
      </c>
      <c r="I56" s="12" t="str">
        <f t="shared" si="2"/>
        <v/>
      </c>
      <c r="J56" s="12" t="str">
        <f t="shared" si="3"/>
        <v/>
      </c>
      <c r="K56" s="12" t="str">
        <f t="shared" si="4"/>
        <v/>
      </c>
      <c r="L56" s="10" t="str">
        <f>IF(Инвентаризация!C56="","",Инвентаризация!M56)</f>
        <v/>
      </c>
      <c r="M56" s="10" t="str">
        <f>IF(Инвентаризация!C56="","",Инвентаризация!N56)</f>
        <v/>
      </c>
      <c r="N56" s="10" t="str">
        <f>IF(Инвентаризация!C56="","",Инвентаризация!O56)</f>
        <v/>
      </c>
      <c r="O56" s="10" t="str">
        <f>IF(Инвентаризация!C56="","",Инвентаризация!P56)</f>
        <v/>
      </c>
      <c r="P56" s="8" t="str">
        <f>IF(Инвентаризация!C56="","",Инвентаризация!Q56)</f>
        <v/>
      </c>
    </row>
    <row r="57" spans="1:16">
      <c r="A57" s="10" t="str">
        <f>IF(Инвентаризация!C57="","",Инвентаризация!B57)</f>
        <v/>
      </c>
      <c r="B57" s="10" t="str">
        <f>IF(Инвентаризация!C57="","",Инвентаризация!C57)</f>
        <v/>
      </c>
      <c r="C57" s="5" t="str">
        <f>IF(Инвентаризация!C57="","",Инвентаризация!D57)</f>
        <v/>
      </c>
      <c r="D57" s="11" t="str">
        <f>IF(Инвентаризация!C57="","",Инвентаризация!E57)</f>
        <v/>
      </c>
      <c r="E57" s="12" t="str">
        <f>IF(Инвентаризация!C57="","",Инвентаризация!F57)</f>
        <v/>
      </c>
      <c r="F57" s="12" t="str">
        <f>IF(Инвентаризация!C57="","",Инвентаризация!G57)</f>
        <v/>
      </c>
      <c r="G57" s="12" t="str">
        <f t="shared" si="0"/>
        <v/>
      </c>
      <c r="H57" s="13" t="str">
        <f t="shared" si="1"/>
        <v/>
      </c>
      <c r="I57" s="12" t="str">
        <f t="shared" si="2"/>
        <v/>
      </c>
      <c r="J57" s="12" t="str">
        <f t="shared" si="3"/>
        <v/>
      </c>
      <c r="K57" s="12" t="str">
        <f t="shared" si="4"/>
        <v/>
      </c>
      <c r="L57" s="10" t="str">
        <f>IF(Инвентаризация!C57="","",Инвентаризация!M57)</f>
        <v/>
      </c>
      <c r="M57" s="10" t="str">
        <f>IF(Инвентаризация!C57="","",Инвентаризация!N57)</f>
        <v/>
      </c>
      <c r="N57" s="10" t="str">
        <f>IF(Инвентаризация!C57="","",Инвентаризация!O57)</f>
        <v/>
      </c>
      <c r="O57" s="10" t="str">
        <f>IF(Инвентаризация!C57="","",Инвентаризация!P57)</f>
        <v/>
      </c>
      <c r="P57" s="8" t="str">
        <f>IF(Инвентаризация!C57="","",Инвентаризация!Q57)</f>
        <v/>
      </c>
    </row>
    <row r="58" spans="1:16">
      <c r="A58" s="10" t="str">
        <f>IF(Инвентаризация!C58="","",Инвентаризация!B58)</f>
        <v/>
      </c>
      <c r="B58" s="10" t="str">
        <f>IF(Инвентаризация!C58="","",Инвентаризация!C58)</f>
        <v/>
      </c>
      <c r="C58" s="5" t="str">
        <f>IF(Инвентаризация!C58="","",Инвентаризация!D58)</f>
        <v/>
      </c>
      <c r="D58" s="11" t="str">
        <f>IF(Инвентаризация!C58="","",Инвентаризация!E58)</f>
        <v/>
      </c>
      <c r="E58" s="12" t="str">
        <f>IF(Инвентаризация!C58="","",Инвентаризация!F58)</f>
        <v/>
      </c>
      <c r="F58" s="12" t="str">
        <f>IF(Инвентаризация!C58="","",Инвентаризация!G58)</f>
        <v/>
      </c>
      <c r="G58" s="12" t="str">
        <f t="shared" si="0"/>
        <v/>
      </c>
      <c r="H58" s="13" t="str">
        <f t="shared" si="1"/>
        <v/>
      </c>
      <c r="I58" s="12" t="str">
        <f t="shared" si="2"/>
        <v/>
      </c>
      <c r="J58" s="12" t="str">
        <f t="shared" si="3"/>
        <v/>
      </c>
      <c r="K58" s="12" t="str">
        <f t="shared" si="4"/>
        <v/>
      </c>
      <c r="L58" s="10" t="str">
        <f>IF(Инвентаризация!C58="","",Инвентаризация!M58)</f>
        <v/>
      </c>
      <c r="M58" s="10" t="str">
        <f>IF(Инвентаризация!C58="","",Инвентаризация!N58)</f>
        <v/>
      </c>
      <c r="N58" s="10" t="str">
        <f>IF(Инвентаризация!C58="","",Инвентаризация!O58)</f>
        <v/>
      </c>
      <c r="O58" s="10" t="str">
        <f>IF(Инвентаризация!C58="","",Инвентаризация!P58)</f>
        <v/>
      </c>
      <c r="P58" s="8" t="str">
        <f>IF(Инвентаризация!C58="","",Инвентаризация!Q58)</f>
        <v/>
      </c>
    </row>
    <row r="59" spans="1:16">
      <c r="A59" s="10" t="str">
        <f>IF(Инвентаризация!C59="","",Инвентаризация!B59)</f>
        <v/>
      </c>
      <c r="B59" s="10" t="str">
        <f>IF(Инвентаризация!C59="","",Инвентаризация!C59)</f>
        <v/>
      </c>
      <c r="C59" s="5" t="str">
        <f>IF(Инвентаризация!C59="","",Инвентаризация!D59)</f>
        <v/>
      </c>
      <c r="D59" s="11" t="str">
        <f>IF(Инвентаризация!C59="","",Инвентаризация!E59)</f>
        <v/>
      </c>
      <c r="E59" s="12" t="str">
        <f>IF(Инвентаризация!C59="","",Инвентаризация!F59)</f>
        <v/>
      </c>
      <c r="F59" s="12" t="str">
        <f>IF(Инвентаризация!C59="","",Инвентаризация!G59)</f>
        <v/>
      </c>
      <c r="G59" s="12" t="str">
        <f t="shared" si="0"/>
        <v/>
      </c>
      <c r="H59" s="13" t="str">
        <f t="shared" si="1"/>
        <v/>
      </c>
      <c r="I59" s="12" t="str">
        <f t="shared" si="2"/>
        <v/>
      </c>
      <c r="J59" s="12" t="str">
        <f t="shared" si="3"/>
        <v/>
      </c>
      <c r="K59" s="12" t="str">
        <f t="shared" si="4"/>
        <v/>
      </c>
      <c r="L59" s="10" t="str">
        <f>IF(Инвентаризация!C59="","",Инвентаризация!M59)</f>
        <v/>
      </c>
      <c r="M59" s="10" t="str">
        <f>IF(Инвентаризация!C59="","",Инвентаризация!N59)</f>
        <v/>
      </c>
      <c r="N59" s="10" t="str">
        <f>IF(Инвентаризация!C59="","",Инвентаризация!O59)</f>
        <v/>
      </c>
      <c r="O59" s="10" t="str">
        <f>IF(Инвентаризация!C59="","",Инвентаризация!P59)</f>
        <v/>
      </c>
      <c r="P59" s="8" t="str">
        <f>IF(Инвентаризация!C59="","",Инвентаризация!Q59)</f>
        <v/>
      </c>
    </row>
    <row r="60" spans="1:16">
      <c r="A60" s="10" t="str">
        <f>IF(Инвентаризация!C60="","",Инвентаризация!B60)</f>
        <v/>
      </c>
      <c r="B60" s="10" t="str">
        <f>IF(Инвентаризация!C60="","",Инвентаризация!C60)</f>
        <v/>
      </c>
      <c r="C60" s="5" t="str">
        <f>IF(Инвентаризация!C60="","",Инвентаризация!D60)</f>
        <v/>
      </c>
      <c r="D60" s="11" t="str">
        <f>IF(Инвентаризация!C60="","",Инвентаризация!E60)</f>
        <v/>
      </c>
      <c r="E60" s="12" t="str">
        <f>IF(Инвентаризация!C60="","",Инвентаризация!F60)</f>
        <v/>
      </c>
      <c r="F60" s="12" t="str">
        <f>IF(Инвентаризация!C60="","",Инвентаризация!G60)</f>
        <v/>
      </c>
      <c r="G60" s="12" t="str">
        <f t="shared" si="0"/>
        <v/>
      </c>
      <c r="H60" s="13" t="str">
        <f t="shared" si="1"/>
        <v/>
      </c>
      <c r="I60" s="12" t="str">
        <f t="shared" si="2"/>
        <v/>
      </c>
      <c r="J60" s="12" t="str">
        <f t="shared" si="3"/>
        <v/>
      </c>
      <c r="K60" s="12" t="str">
        <f t="shared" si="4"/>
        <v/>
      </c>
      <c r="L60" s="10" t="str">
        <f>IF(Инвентаризация!C60="","",Инвентаризация!M60)</f>
        <v/>
      </c>
      <c r="M60" s="10" t="str">
        <f>IF(Инвентаризация!C60="","",Инвентаризация!N60)</f>
        <v/>
      </c>
      <c r="N60" s="10" t="str">
        <f>IF(Инвентаризация!C60="","",Инвентаризация!O60)</f>
        <v/>
      </c>
      <c r="O60" s="10" t="str">
        <f>IF(Инвентаризация!C60="","",Инвентаризация!P60)</f>
        <v/>
      </c>
      <c r="P60" s="8" t="str">
        <f>IF(Инвентаризация!C60="","",Инвентаризация!Q60)</f>
        <v/>
      </c>
    </row>
    <row r="61" spans="1:16">
      <c r="A61" s="10" t="str">
        <f>IF(Инвентаризация!C61="","",Инвентаризация!B61)</f>
        <v/>
      </c>
      <c r="B61" s="10" t="str">
        <f>IF(Инвентаризация!C61="","",Инвентаризация!C61)</f>
        <v/>
      </c>
      <c r="C61" s="5" t="str">
        <f>IF(Инвентаризация!C61="","",Инвентаризация!D61)</f>
        <v/>
      </c>
      <c r="D61" s="11" t="str">
        <f>IF(Инвентаризация!C61="","",Инвентаризация!E61)</f>
        <v/>
      </c>
      <c r="E61" s="12" t="str">
        <f>IF(Инвентаризация!C61="","",Инвентаризация!F61)</f>
        <v/>
      </c>
      <c r="F61" s="12" t="str">
        <f>IF(Инвентаризация!C61="","",Инвентаризация!G61)</f>
        <v/>
      </c>
      <c r="G61" s="12" t="str">
        <f t="shared" si="0"/>
        <v/>
      </c>
      <c r="H61" s="13" t="str">
        <f t="shared" si="1"/>
        <v/>
      </c>
      <c r="I61" s="12" t="str">
        <f t="shared" si="2"/>
        <v/>
      </c>
      <c r="J61" s="12" t="str">
        <f t="shared" si="3"/>
        <v/>
      </c>
      <c r="K61" s="12" t="str">
        <f t="shared" si="4"/>
        <v/>
      </c>
      <c r="L61" s="10" t="str">
        <f>IF(Инвентаризация!C61="","",Инвентаризация!M61)</f>
        <v/>
      </c>
      <c r="M61" s="10" t="str">
        <f>IF(Инвентаризация!C61="","",Инвентаризация!N61)</f>
        <v/>
      </c>
      <c r="N61" s="10" t="str">
        <f>IF(Инвентаризация!C61="","",Инвентаризация!O61)</f>
        <v/>
      </c>
      <c r="O61" s="10" t="str">
        <f>IF(Инвентаризация!C61="","",Инвентаризация!P61)</f>
        <v/>
      </c>
      <c r="P61" s="8" t="str">
        <f>IF(Инвентаризация!C61="","",Инвентаризация!Q61)</f>
        <v/>
      </c>
    </row>
    <row r="62" spans="1:16">
      <c r="A62" s="10" t="str">
        <f>IF(Инвентаризация!C62="","",Инвентаризация!B62)</f>
        <v/>
      </c>
      <c r="B62" s="10" t="str">
        <f>IF(Инвентаризация!C62="","",Инвентаризация!C62)</f>
        <v/>
      </c>
      <c r="C62" s="5" t="str">
        <f>IF(Инвентаризация!C62="","",Инвентаризация!D62)</f>
        <v/>
      </c>
      <c r="D62" s="11" t="str">
        <f>IF(Инвентаризация!C62="","",Инвентаризация!E62)</f>
        <v/>
      </c>
      <c r="E62" s="12" t="str">
        <f>IF(Инвентаризация!C62="","",Инвентаризация!F62)</f>
        <v/>
      </c>
      <c r="F62" s="12" t="str">
        <f>IF(Инвентаризация!C62="","",Инвентаризация!G62)</f>
        <v/>
      </c>
      <c r="G62" s="12" t="str">
        <f t="shared" si="0"/>
        <v/>
      </c>
      <c r="H62" s="13" t="str">
        <f t="shared" si="1"/>
        <v/>
      </c>
      <c r="I62" s="12" t="str">
        <f t="shared" si="2"/>
        <v/>
      </c>
      <c r="J62" s="12" t="str">
        <f t="shared" si="3"/>
        <v/>
      </c>
      <c r="K62" s="12" t="str">
        <f t="shared" si="4"/>
        <v/>
      </c>
      <c r="L62" s="10" t="str">
        <f>IF(Инвентаризация!C62="","",Инвентаризация!M62)</f>
        <v/>
      </c>
      <c r="M62" s="10" t="str">
        <f>IF(Инвентаризация!C62="","",Инвентаризация!N62)</f>
        <v/>
      </c>
      <c r="N62" s="10" t="str">
        <f>IF(Инвентаризация!C62="","",Инвентаризация!O62)</f>
        <v/>
      </c>
      <c r="O62" s="10" t="str">
        <f>IF(Инвентаризация!C62="","",Инвентаризация!P62)</f>
        <v/>
      </c>
      <c r="P62" s="8" t="str">
        <f>IF(Инвентаризация!C62="","",Инвентаризация!Q62)</f>
        <v/>
      </c>
    </row>
    <row r="63" spans="1:16">
      <c r="A63" s="10" t="str">
        <f>IF(Инвентаризация!C63="","",Инвентаризация!B63)</f>
        <v/>
      </c>
      <c r="B63" s="10" t="str">
        <f>IF(Инвентаризация!C63="","",Инвентаризация!C63)</f>
        <v/>
      </c>
      <c r="C63" s="5" t="str">
        <f>IF(Инвентаризация!C63="","",Инвентаризация!D63)</f>
        <v/>
      </c>
      <c r="D63" s="11" t="str">
        <f>IF(Инвентаризация!C63="","",Инвентаризация!E63)</f>
        <v/>
      </c>
      <c r="E63" s="12" t="str">
        <f>IF(Инвентаризация!C63="","",Инвентаризация!F63)</f>
        <v/>
      </c>
      <c r="F63" s="12" t="str">
        <f>IF(Инвентаризация!C63="","",Инвентаризация!G63)</f>
        <v/>
      </c>
      <c r="G63" s="12" t="str">
        <f t="shared" si="0"/>
        <v/>
      </c>
      <c r="H63" s="13" t="str">
        <f t="shared" si="1"/>
        <v/>
      </c>
      <c r="I63" s="12" t="str">
        <f t="shared" si="2"/>
        <v/>
      </c>
      <c r="J63" s="12" t="str">
        <f t="shared" si="3"/>
        <v/>
      </c>
      <c r="K63" s="12" t="str">
        <f t="shared" si="4"/>
        <v/>
      </c>
      <c r="L63" s="10" t="str">
        <f>IF(Инвентаризация!C63="","",Инвентаризация!M63)</f>
        <v/>
      </c>
      <c r="M63" s="10" t="str">
        <f>IF(Инвентаризация!C63="","",Инвентаризация!N63)</f>
        <v/>
      </c>
      <c r="N63" s="10" t="str">
        <f>IF(Инвентаризация!C63="","",Инвентаризация!O63)</f>
        <v/>
      </c>
      <c r="O63" s="10" t="str">
        <f>IF(Инвентаризация!C63="","",Инвентаризация!P63)</f>
        <v/>
      </c>
      <c r="P63" s="8" t="str">
        <f>IF(Инвентаризация!C63="","",Инвентаризация!Q63)</f>
        <v/>
      </c>
    </row>
    <row r="64" spans="1:16">
      <c r="A64" s="10" t="str">
        <f>IF(Инвентаризация!C64="","",Инвентаризация!B64)</f>
        <v/>
      </c>
      <c r="B64" s="10" t="str">
        <f>IF(Инвентаризация!C64="","",Инвентаризация!C64)</f>
        <v/>
      </c>
      <c r="C64" s="5" t="str">
        <f>IF(Инвентаризация!C64="","",Инвентаризация!D64)</f>
        <v/>
      </c>
      <c r="D64" s="11" t="str">
        <f>IF(Инвентаризация!C64="","",Инвентаризация!E64)</f>
        <v/>
      </c>
      <c r="E64" s="12" t="str">
        <f>IF(Инвентаризация!C64="","",Инвентаризация!F64)</f>
        <v/>
      </c>
      <c r="F64" s="12" t="str">
        <f>IF(Инвентаризация!C64="","",Инвентаризация!G64)</f>
        <v/>
      </c>
      <c r="G64" s="12" t="str">
        <f t="shared" si="0"/>
        <v/>
      </c>
      <c r="H64" s="13" t="str">
        <f t="shared" si="1"/>
        <v/>
      </c>
      <c r="I64" s="12" t="str">
        <f t="shared" si="2"/>
        <v/>
      </c>
      <c r="J64" s="12" t="str">
        <f t="shared" si="3"/>
        <v/>
      </c>
      <c r="K64" s="12" t="str">
        <f t="shared" si="4"/>
        <v/>
      </c>
      <c r="L64" s="10" t="str">
        <f>IF(Инвентаризация!C64="","",Инвентаризация!M64)</f>
        <v/>
      </c>
      <c r="M64" s="10" t="str">
        <f>IF(Инвентаризация!C64="","",Инвентаризация!N64)</f>
        <v/>
      </c>
      <c r="N64" s="10" t="str">
        <f>IF(Инвентаризация!C64="","",Инвентаризация!O64)</f>
        <v/>
      </c>
      <c r="O64" s="10" t="str">
        <f>IF(Инвентаризация!C64="","",Инвентаризация!P64)</f>
        <v/>
      </c>
      <c r="P64" s="8" t="str">
        <f>IF(Инвентаризация!C64="","",Инвентаризация!Q64)</f>
        <v/>
      </c>
    </row>
    <row r="65" spans="1:16">
      <c r="A65" s="10" t="str">
        <f>IF(Инвентаризация!C65="","",Инвентаризация!B65)</f>
        <v/>
      </c>
      <c r="B65" s="10" t="str">
        <f>IF(Инвентаризация!C65="","",Инвентаризация!C65)</f>
        <v/>
      </c>
      <c r="C65" s="5" t="str">
        <f>IF(Инвентаризация!C65="","",Инвентаризация!D65)</f>
        <v/>
      </c>
      <c r="D65" s="11" t="str">
        <f>IF(Инвентаризация!C65="","",Инвентаризация!E65)</f>
        <v/>
      </c>
      <c r="E65" s="12" t="str">
        <f>IF(Инвентаризация!C65="","",Инвентаризация!F65)</f>
        <v/>
      </c>
      <c r="F65" s="12" t="str">
        <f>IF(Инвентаризация!C65="","",Инвентаризация!G65)</f>
        <v/>
      </c>
      <c r="G65" s="12" t="str">
        <f t="shared" si="0"/>
        <v/>
      </c>
      <c r="H65" s="13" t="str">
        <f t="shared" si="1"/>
        <v/>
      </c>
      <c r="I65" s="12" t="str">
        <f t="shared" si="2"/>
        <v/>
      </c>
      <c r="J65" s="12" t="str">
        <f t="shared" si="3"/>
        <v/>
      </c>
      <c r="K65" s="12" t="str">
        <f t="shared" si="4"/>
        <v/>
      </c>
      <c r="L65" s="10" t="str">
        <f>IF(Инвентаризация!C65="","",Инвентаризация!M65)</f>
        <v/>
      </c>
      <c r="M65" s="10" t="str">
        <f>IF(Инвентаризация!C65="","",Инвентаризация!N65)</f>
        <v/>
      </c>
      <c r="N65" s="10" t="str">
        <f>IF(Инвентаризация!C65="","",Инвентаризация!O65)</f>
        <v/>
      </c>
      <c r="O65" s="10" t="str">
        <f>IF(Инвентаризация!C65="","",Инвентаризация!P65)</f>
        <v/>
      </c>
      <c r="P65" s="8" t="str">
        <f>IF(Инвентаризация!C65="","",Инвентаризация!Q65)</f>
        <v/>
      </c>
    </row>
    <row r="66" spans="1:16">
      <c r="A66" s="10" t="str">
        <f>IF(Инвентаризация!C66="","",Инвентаризация!B66)</f>
        <v/>
      </c>
      <c r="B66" s="10" t="str">
        <f>IF(Инвентаризация!C66="","",Инвентаризация!C66)</f>
        <v/>
      </c>
      <c r="C66" s="5" t="str">
        <f>IF(Инвентаризация!C66="","",Инвентаризация!D66)</f>
        <v/>
      </c>
      <c r="D66" s="11" t="str">
        <f>IF(Инвентаризация!C66="","",Инвентаризация!E66)</f>
        <v/>
      </c>
      <c r="E66" s="12" t="str">
        <f>IF(Инвентаризация!C66="","",Инвентаризация!F66)</f>
        <v/>
      </c>
      <c r="F66" s="12" t="str">
        <f>IF(Инвентаризация!C66="","",Инвентаризация!G66)</f>
        <v/>
      </c>
      <c r="G66" s="12" t="str">
        <f t="shared" ref="G66:G129" si="5">IF(OR(E66="",F66=""),"",F66-E66)</f>
        <v/>
      </c>
      <c r="H66" s="13" t="str">
        <f t="shared" ref="H66:H129" si="6">IFERROR(G66/F66,"")</f>
        <v/>
      </c>
      <c r="I66" s="12" t="str">
        <f t="shared" ref="I66:I129" si="7">IF(OR(D66="",E66=""),"",D66*E66)</f>
        <v/>
      </c>
      <c r="J66" s="12" t="str">
        <f t="shared" ref="J66:J129" si="8">IF(OR(D66="",F66=""),"",D66*F66)</f>
        <v/>
      </c>
      <c r="K66" s="12" t="str">
        <f t="shared" ref="K66:K129" si="9">IF(OR(D66="",G66=""),"",D66*G66)</f>
        <v/>
      </c>
      <c r="L66" s="10" t="str">
        <f>IF(Инвентаризация!C66="","",Инвентаризация!M66)</f>
        <v/>
      </c>
      <c r="M66" s="10" t="str">
        <f>IF(Инвентаризация!C66="","",Инвентаризация!N66)</f>
        <v/>
      </c>
      <c r="N66" s="10" t="str">
        <f>IF(Инвентаризация!C66="","",Инвентаризация!O66)</f>
        <v/>
      </c>
      <c r="O66" s="10" t="str">
        <f>IF(Инвентаризация!C66="","",Инвентаризация!P66)</f>
        <v/>
      </c>
      <c r="P66" s="8" t="str">
        <f>IF(Инвентаризация!C66="","",Инвентаризация!Q66)</f>
        <v/>
      </c>
    </row>
    <row r="67" spans="1:16">
      <c r="A67" s="10" t="str">
        <f>IF(Инвентаризация!C67="","",Инвентаризация!B67)</f>
        <v/>
      </c>
      <c r="B67" s="10" t="str">
        <f>IF(Инвентаризация!C67="","",Инвентаризация!C67)</f>
        <v/>
      </c>
      <c r="C67" s="5" t="str">
        <f>IF(Инвентаризация!C67="","",Инвентаризация!D67)</f>
        <v/>
      </c>
      <c r="D67" s="11" t="str">
        <f>IF(Инвентаризация!C67="","",Инвентаризация!E67)</f>
        <v/>
      </c>
      <c r="E67" s="12" t="str">
        <f>IF(Инвентаризация!C67="","",Инвентаризация!F67)</f>
        <v/>
      </c>
      <c r="F67" s="12" t="str">
        <f>IF(Инвентаризация!C67="","",Инвентаризация!G67)</f>
        <v/>
      </c>
      <c r="G67" s="12" t="str">
        <f t="shared" si="5"/>
        <v/>
      </c>
      <c r="H67" s="13" t="str">
        <f t="shared" si="6"/>
        <v/>
      </c>
      <c r="I67" s="12" t="str">
        <f t="shared" si="7"/>
        <v/>
      </c>
      <c r="J67" s="12" t="str">
        <f t="shared" si="8"/>
        <v/>
      </c>
      <c r="K67" s="12" t="str">
        <f t="shared" si="9"/>
        <v/>
      </c>
      <c r="L67" s="10" t="str">
        <f>IF(Инвентаризация!C67="","",Инвентаризация!M67)</f>
        <v/>
      </c>
      <c r="M67" s="10" t="str">
        <f>IF(Инвентаризация!C67="","",Инвентаризация!N67)</f>
        <v/>
      </c>
      <c r="N67" s="10" t="str">
        <f>IF(Инвентаризация!C67="","",Инвентаризация!O67)</f>
        <v/>
      </c>
      <c r="O67" s="10" t="str">
        <f>IF(Инвентаризация!C67="","",Инвентаризация!P67)</f>
        <v/>
      </c>
      <c r="P67" s="8" t="str">
        <f>IF(Инвентаризация!C67="","",Инвентаризация!Q67)</f>
        <v/>
      </c>
    </row>
    <row r="68" spans="1:16">
      <c r="A68" s="10" t="str">
        <f>IF(Инвентаризация!C68="","",Инвентаризация!B68)</f>
        <v/>
      </c>
      <c r="B68" s="10" t="str">
        <f>IF(Инвентаризация!C68="","",Инвентаризация!C68)</f>
        <v/>
      </c>
      <c r="C68" s="5" t="str">
        <f>IF(Инвентаризация!C68="","",Инвентаризация!D68)</f>
        <v/>
      </c>
      <c r="D68" s="11" t="str">
        <f>IF(Инвентаризация!C68="","",Инвентаризация!E68)</f>
        <v/>
      </c>
      <c r="E68" s="12" t="str">
        <f>IF(Инвентаризация!C68="","",Инвентаризация!F68)</f>
        <v/>
      </c>
      <c r="F68" s="12" t="str">
        <f>IF(Инвентаризация!C68="","",Инвентаризация!G68)</f>
        <v/>
      </c>
      <c r="G68" s="12" t="str">
        <f t="shared" si="5"/>
        <v/>
      </c>
      <c r="H68" s="13" t="str">
        <f t="shared" si="6"/>
        <v/>
      </c>
      <c r="I68" s="12" t="str">
        <f t="shared" si="7"/>
        <v/>
      </c>
      <c r="J68" s="12" t="str">
        <f t="shared" si="8"/>
        <v/>
      </c>
      <c r="K68" s="12" t="str">
        <f t="shared" si="9"/>
        <v/>
      </c>
      <c r="L68" s="10" t="str">
        <f>IF(Инвентаризация!C68="","",Инвентаризация!M68)</f>
        <v/>
      </c>
      <c r="M68" s="10" t="str">
        <f>IF(Инвентаризация!C68="","",Инвентаризация!N68)</f>
        <v/>
      </c>
      <c r="N68" s="10" t="str">
        <f>IF(Инвентаризация!C68="","",Инвентаризация!O68)</f>
        <v/>
      </c>
      <c r="O68" s="10" t="str">
        <f>IF(Инвентаризация!C68="","",Инвентаризация!P68)</f>
        <v/>
      </c>
      <c r="P68" s="8" t="str">
        <f>IF(Инвентаризация!C68="","",Инвентаризация!Q68)</f>
        <v/>
      </c>
    </row>
    <row r="69" spans="1:16">
      <c r="A69" s="10" t="str">
        <f>IF(Инвентаризация!C69="","",Инвентаризация!B69)</f>
        <v/>
      </c>
      <c r="B69" s="10" t="str">
        <f>IF(Инвентаризация!C69="","",Инвентаризация!C69)</f>
        <v/>
      </c>
      <c r="C69" s="5" t="str">
        <f>IF(Инвентаризация!C69="","",Инвентаризация!D69)</f>
        <v/>
      </c>
      <c r="D69" s="11" t="str">
        <f>IF(Инвентаризация!C69="","",Инвентаризация!E69)</f>
        <v/>
      </c>
      <c r="E69" s="12" t="str">
        <f>IF(Инвентаризация!C69="","",Инвентаризация!F69)</f>
        <v/>
      </c>
      <c r="F69" s="12" t="str">
        <f>IF(Инвентаризация!C69="","",Инвентаризация!G69)</f>
        <v/>
      </c>
      <c r="G69" s="12" t="str">
        <f t="shared" si="5"/>
        <v/>
      </c>
      <c r="H69" s="13" t="str">
        <f t="shared" si="6"/>
        <v/>
      </c>
      <c r="I69" s="12" t="str">
        <f t="shared" si="7"/>
        <v/>
      </c>
      <c r="J69" s="12" t="str">
        <f t="shared" si="8"/>
        <v/>
      </c>
      <c r="K69" s="12" t="str">
        <f t="shared" si="9"/>
        <v/>
      </c>
      <c r="L69" s="10" t="str">
        <f>IF(Инвентаризация!C69="","",Инвентаризация!M69)</f>
        <v/>
      </c>
      <c r="M69" s="10" t="str">
        <f>IF(Инвентаризация!C69="","",Инвентаризация!N69)</f>
        <v/>
      </c>
      <c r="N69" s="10" t="str">
        <f>IF(Инвентаризация!C69="","",Инвентаризация!O69)</f>
        <v/>
      </c>
      <c r="O69" s="10" t="str">
        <f>IF(Инвентаризация!C69="","",Инвентаризация!P69)</f>
        <v/>
      </c>
      <c r="P69" s="8" t="str">
        <f>IF(Инвентаризация!C69="","",Инвентаризация!Q69)</f>
        <v/>
      </c>
    </row>
    <row r="70" spans="1:16">
      <c r="A70" s="10" t="str">
        <f>IF(Инвентаризация!C70="","",Инвентаризация!B70)</f>
        <v/>
      </c>
      <c r="B70" s="10" t="str">
        <f>IF(Инвентаризация!C70="","",Инвентаризация!C70)</f>
        <v/>
      </c>
      <c r="C70" s="5" t="str">
        <f>IF(Инвентаризация!C70="","",Инвентаризация!D70)</f>
        <v/>
      </c>
      <c r="D70" s="11" t="str">
        <f>IF(Инвентаризация!C70="","",Инвентаризация!E70)</f>
        <v/>
      </c>
      <c r="E70" s="12" t="str">
        <f>IF(Инвентаризация!C70="","",Инвентаризация!F70)</f>
        <v/>
      </c>
      <c r="F70" s="12" t="str">
        <f>IF(Инвентаризация!C70="","",Инвентаризация!G70)</f>
        <v/>
      </c>
      <c r="G70" s="12" t="str">
        <f t="shared" si="5"/>
        <v/>
      </c>
      <c r="H70" s="13" t="str">
        <f t="shared" si="6"/>
        <v/>
      </c>
      <c r="I70" s="12" t="str">
        <f t="shared" si="7"/>
        <v/>
      </c>
      <c r="J70" s="12" t="str">
        <f t="shared" si="8"/>
        <v/>
      </c>
      <c r="K70" s="12" t="str">
        <f t="shared" si="9"/>
        <v/>
      </c>
      <c r="L70" s="10" t="str">
        <f>IF(Инвентаризация!C70="","",Инвентаризация!M70)</f>
        <v/>
      </c>
      <c r="M70" s="10" t="str">
        <f>IF(Инвентаризация!C70="","",Инвентаризация!N70)</f>
        <v/>
      </c>
      <c r="N70" s="10" t="str">
        <f>IF(Инвентаризация!C70="","",Инвентаризация!O70)</f>
        <v/>
      </c>
      <c r="O70" s="10" t="str">
        <f>IF(Инвентаризация!C70="","",Инвентаризация!P70)</f>
        <v/>
      </c>
      <c r="P70" s="8" t="str">
        <f>IF(Инвентаризация!C70="","",Инвентаризация!Q70)</f>
        <v/>
      </c>
    </row>
    <row r="71" spans="1:16">
      <c r="A71" s="10" t="str">
        <f>IF(Инвентаризация!C71="","",Инвентаризация!B71)</f>
        <v/>
      </c>
      <c r="B71" s="10" t="str">
        <f>IF(Инвентаризация!C71="","",Инвентаризация!C71)</f>
        <v/>
      </c>
      <c r="C71" s="5" t="str">
        <f>IF(Инвентаризация!C71="","",Инвентаризация!D71)</f>
        <v/>
      </c>
      <c r="D71" s="11" t="str">
        <f>IF(Инвентаризация!C71="","",Инвентаризация!E71)</f>
        <v/>
      </c>
      <c r="E71" s="12" t="str">
        <f>IF(Инвентаризация!C71="","",Инвентаризация!F71)</f>
        <v/>
      </c>
      <c r="F71" s="12" t="str">
        <f>IF(Инвентаризация!C71="","",Инвентаризация!G71)</f>
        <v/>
      </c>
      <c r="G71" s="12" t="str">
        <f t="shared" si="5"/>
        <v/>
      </c>
      <c r="H71" s="13" t="str">
        <f t="shared" si="6"/>
        <v/>
      </c>
      <c r="I71" s="12" t="str">
        <f t="shared" si="7"/>
        <v/>
      </c>
      <c r="J71" s="12" t="str">
        <f t="shared" si="8"/>
        <v/>
      </c>
      <c r="K71" s="12" t="str">
        <f t="shared" si="9"/>
        <v/>
      </c>
      <c r="L71" s="10" t="str">
        <f>IF(Инвентаризация!C71="","",Инвентаризация!M71)</f>
        <v/>
      </c>
      <c r="M71" s="10" t="str">
        <f>IF(Инвентаризация!C71="","",Инвентаризация!N71)</f>
        <v/>
      </c>
      <c r="N71" s="10" t="str">
        <f>IF(Инвентаризация!C71="","",Инвентаризация!O71)</f>
        <v/>
      </c>
      <c r="O71" s="10" t="str">
        <f>IF(Инвентаризация!C71="","",Инвентаризация!P71)</f>
        <v/>
      </c>
      <c r="P71" s="8" t="str">
        <f>IF(Инвентаризация!C71="","",Инвентаризация!Q71)</f>
        <v/>
      </c>
    </row>
    <row r="72" spans="1:16">
      <c r="A72" s="10" t="str">
        <f>IF(Инвентаризация!C72="","",Инвентаризация!B72)</f>
        <v/>
      </c>
      <c r="B72" s="10" t="str">
        <f>IF(Инвентаризация!C72="","",Инвентаризация!C72)</f>
        <v/>
      </c>
      <c r="C72" s="5" t="str">
        <f>IF(Инвентаризация!C72="","",Инвентаризация!D72)</f>
        <v/>
      </c>
      <c r="D72" s="11" t="str">
        <f>IF(Инвентаризация!C72="","",Инвентаризация!E72)</f>
        <v/>
      </c>
      <c r="E72" s="12" t="str">
        <f>IF(Инвентаризация!C72="","",Инвентаризация!F72)</f>
        <v/>
      </c>
      <c r="F72" s="12" t="str">
        <f>IF(Инвентаризация!C72="","",Инвентаризация!G72)</f>
        <v/>
      </c>
      <c r="G72" s="12" t="str">
        <f t="shared" si="5"/>
        <v/>
      </c>
      <c r="H72" s="13" t="str">
        <f t="shared" si="6"/>
        <v/>
      </c>
      <c r="I72" s="12" t="str">
        <f t="shared" si="7"/>
        <v/>
      </c>
      <c r="J72" s="12" t="str">
        <f t="shared" si="8"/>
        <v/>
      </c>
      <c r="K72" s="12" t="str">
        <f t="shared" si="9"/>
        <v/>
      </c>
      <c r="L72" s="10" t="str">
        <f>IF(Инвентаризация!C72="","",Инвентаризация!M72)</f>
        <v/>
      </c>
      <c r="M72" s="10" t="str">
        <f>IF(Инвентаризация!C72="","",Инвентаризация!N72)</f>
        <v/>
      </c>
      <c r="N72" s="10" t="str">
        <f>IF(Инвентаризация!C72="","",Инвентаризация!O72)</f>
        <v/>
      </c>
      <c r="O72" s="10" t="str">
        <f>IF(Инвентаризация!C72="","",Инвентаризация!P72)</f>
        <v/>
      </c>
      <c r="P72" s="8" t="str">
        <f>IF(Инвентаризация!C72="","",Инвентаризация!Q72)</f>
        <v/>
      </c>
    </row>
    <row r="73" spans="1:16">
      <c r="A73" s="10" t="str">
        <f>IF(Инвентаризация!C73="","",Инвентаризация!B73)</f>
        <v/>
      </c>
      <c r="B73" s="10" t="str">
        <f>IF(Инвентаризация!C73="","",Инвентаризация!C73)</f>
        <v/>
      </c>
      <c r="C73" s="5" t="str">
        <f>IF(Инвентаризация!C73="","",Инвентаризация!D73)</f>
        <v/>
      </c>
      <c r="D73" s="11" t="str">
        <f>IF(Инвентаризация!C73="","",Инвентаризация!E73)</f>
        <v/>
      </c>
      <c r="E73" s="12" t="str">
        <f>IF(Инвентаризация!C73="","",Инвентаризация!F73)</f>
        <v/>
      </c>
      <c r="F73" s="12" t="str">
        <f>IF(Инвентаризация!C73="","",Инвентаризация!G73)</f>
        <v/>
      </c>
      <c r="G73" s="12" t="str">
        <f t="shared" si="5"/>
        <v/>
      </c>
      <c r="H73" s="13" t="str">
        <f t="shared" si="6"/>
        <v/>
      </c>
      <c r="I73" s="12" t="str">
        <f t="shared" si="7"/>
        <v/>
      </c>
      <c r="J73" s="12" t="str">
        <f t="shared" si="8"/>
        <v/>
      </c>
      <c r="K73" s="12" t="str">
        <f t="shared" si="9"/>
        <v/>
      </c>
      <c r="L73" s="10" t="str">
        <f>IF(Инвентаризация!C73="","",Инвентаризация!M73)</f>
        <v/>
      </c>
      <c r="M73" s="10" t="str">
        <f>IF(Инвентаризация!C73="","",Инвентаризация!N73)</f>
        <v/>
      </c>
      <c r="N73" s="10" t="str">
        <f>IF(Инвентаризация!C73="","",Инвентаризация!O73)</f>
        <v/>
      </c>
      <c r="O73" s="10" t="str">
        <f>IF(Инвентаризация!C73="","",Инвентаризация!P73)</f>
        <v/>
      </c>
      <c r="P73" s="8" t="str">
        <f>IF(Инвентаризация!C73="","",Инвентаризация!Q73)</f>
        <v/>
      </c>
    </row>
    <row r="74" spans="1:16">
      <c r="A74" s="10" t="str">
        <f>IF(Инвентаризация!C74="","",Инвентаризация!B74)</f>
        <v/>
      </c>
      <c r="B74" s="10" t="str">
        <f>IF(Инвентаризация!C74="","",Инвентаризация!C74)</f>
        <v/>
      </c>
      <c r="C74" s="5" t="str">
        <f>IF(Инвентаризация!C74="","",Инвентаризация!D74)</f>
        <v/>
      </c>
      <c r="D74" s="11" t="str">
        <f>IF(Инвентаризация!C74="","",Инвентаризация!E74)</f>
        <v/>
      </c>
      <c r="E74" s="12" t="str">
        <f>IF(Инвентаризация!C74="","",Инвентаризация!F74)</f>
        <v/>
      </c>
      <c r="F74" s="12" t="str">
        <f>IF(Инвентаризация!C74="","",Инвентаризация!G74)</f>
        <v/>
      </c>
      <c r="G74" s="12" t="str">
        <f t="shared" si="5"/>
        <v/>
      </c>
      <c r="H74" s="13" t="str">
        <f t="shared" si="6"/>
        <v/>
      </c>
      <c r="I74" s="12" t="str">
        <f t="shared" si="7"/>
        <v/>
      </c>
      <c r="J74" s="12" t="str">
        <f t="shared" si="8"/>
        <v/>
      </c>
      <c r="K74" s="12" t="str">
        <f t="shared" si="9"/>
        <v/>
      </c>
      <c r="L74" s="10" t="str">
        <f>IF(Инвентаризация!C74="","",Инвентаризация!M74)</f>
        <v/>
      </c>
      <c r="M74" s="10" t="str">
        <f>IF(Инвентаризация!C74="","",Инвентаризация!N74)</f>
        <v/>
      </c>
      <c r="N74" s="10" t="str">
        <f>IF(Инвентаризация!C74="","",Инвентаризация!O74)</f>
        <v/>
      </c>
      <c r="O74" s="10" t="str">
        <f>IF(Инвентаризация!C74="","",Инвентаризация!P74)</f>
        <v/>
      </c>
      <c r="P74" s="8" t="str">
        <f>IF(Инвентаризация!C74="","",Инвентаризация!Q74)</f>
        <v/>
      </c>
    </row>
    <row r="75" spans="1:16">
      <c r="A75" s="10" t="str">
        <f>IF(Инвентаризация!C75="","",Инвентаризация!B75)</f>
        <v/>
      </c>
      <c r="B75" s="10" t="str">
        <f>IF(Инвентаризация!C75="","",Инвентаризация!C75)</f>
        <v/>
      </c>
      <c r="C75" s="5" t="str">
        <f>IF(Инвентаризация!C75="","",Инвентаризация!D75)</f>
        <v/>
      </c>
      <c r="D75" s="11" t="str">
        <f>IF(Инвентаризация!C75="","",Инвентаризация!E75)</f>
        <v/>
      </c>
      <c r="E75" s="12" t="str">
        <f>IF(Инвентаризация!C75="","",Инвентаризация!F75)</f>
        <v/>
      </c>
      <c r="F75" s="12" t="str">
        <f>IF(Инвентаризация!C75="","",Инвентаризация!G75)</f>
        <v/>
      </c>
      <c r="G75" s="12" t="str">
        <f t="shared" si="5"/>
        <v/>
      </c>
      <c r="H75" s="13" t="str">
        <f t="shared" si="6"/>
        <v/>
      </c>
      <c r="I75" s="12" t="str">
        <f t="shared" si="7"/>
        <v/>
      </c>
      <c r="J75" s="12" t="str">
        <f t="shared" si="8"/>
        <v/>
      </c>
      <c r="K75" s="12" t="str">
        <f t="shared" si="9"/>
        <v/>
      </c>
      <c r="L75" s="10" t="str">
        <f>IF(Инвентаризация!C75="","",Инвентаризация!M75)</f>
        <v/>
      </c>
      <c r="M75" s="10" t="str">
        <f>IF(Инвентаризация!C75="","",Инвентаризация!N75)</f>
        <v/>
      </c>
      <c r="N75" s="10" t="str">
        <f>IF(Инвентаризация!C75="","",Инвентаризация!O75)</f>
        <v/>
      </c>
      <c r="O75" s="10" t="str">
        <f>IF(Инвентаризация!C75="","",Инвентаризация!P75)</f>
        <v/>
      </c>
      <c r="P75" s="8" t="str">
        <f>IF(Инвентаризация!C75="","",Инвентаризация!Q75)</f>
        <v/>
      </c>
    </row>
    <row r="76" spans="1:16">
      <c r="A76" s="10" t="str">
        <f>IF(Инвентаризация!C76="","",Инвентаризация!B76)</f>
        <v/>
      </c>
      <c r="B76" s="10" t="str">
        <f>IF(Инвентаризация!C76="","",Инвентаризация!C76)</f>
        <v/>
      </c>
      <c r="C76" s="5" t="str">
        <f>IF(Инвентаризация!C76="","",Инвентаризация!D76)</f>
        <v/>
      </c>
      <c r="D76" s="11" t="str">
        <f>IF(Инвентаризация!C76="","",Инвентаризация!E76)</f>
        <v/>
      </c>
      <c r="E76" s="12" t="str">
        <f>IF(Инвентаризация!C76="","",Инвентаризация!F76)</f>
        <v/>
      </c>
      <c r="F76" s="12" t="str">
        <f>IF(Инвентаризация!C76="","",Инвентаризация!G76)</f>
        <v/>
      </c>
      <c r="G76" s="12" t="str">
        <f t="shared" si="5"/>
        <v/>
      </c>
      <c r="H76" s="13" t="str">
        <f t="shared" si="6"/>
        <v/>
      </c>
      <c r="I76" s="12" t="str">
        <f t="shared" si="7"/>
        <v/>
      </c>
      <c r="J76" s="12" t="str">
        <f t="shared" si="8"/>
        <v/>
      </c>
      <c r="K76" s="12" t="str">
        <f t="shared" si="9"/>
        <v/>
      </c>
      <c r="L76" s="10" t="str">
        <f>IF(Инвентаризация!C76="","",Инвентаризация!M76)</f>
        <v/>
      </c>
      <c r="M76" s="10" t="str">
        <f>IF(Инвентаризация!C76="","",Инвентаризация!N76)</f>
        <v/>
      </c>
      <c r="N76" s="10" t="str">
        <f>IF(Инвентаризация!C76="","",Инвентаризация!O76)</f>
        <v/>
      </c>
      <c r="O76" s="10" t="str">
        <f>IF(Инвентаризация!C76="","",Инвентаризация!P76)</f>
        <v/>
      </c>
      <c r="P76" s="8" t="str">
        <f>IF(Инвентаризация!C76="","",Инвентаризация!Q76)</f>
        <v/>
      </c>
    </row>
    <row r="77" spans="1:16">
      <c r="A77" s="10" t="str">
        <f>IF(Инвентаризация!C77="","",Инвентаризация!B77)</f>
        <v/>
      </c>
      <c r="B77" s="10" t="str">
        <f>IF(Инвентаризация!C77="","",Инвентаризация!C77)</f>
        <v/>
      </c>
      <c r="C77" s="5" t="str">
        <f>IF(Инвентаризация!C77="","",Инвентаризация!D77)</f>
        <v/>
      </c>
      <c r="D77" s="11" t="str">
        <f>IF(Инвентаризация!C77="","",Инвентаризация!E77)</f>
        <v/>
      </c>
      <c r="E77" s="12" t="str">
        <f>IF(Инвентаризация!C77="","",Инвентаризация!F77)</f>
        <v/>
      </c>
      <c r="F77" s="12" t="str">
        <f>IF(Инвентаризация!C77="","",Инвентаризация!G77)</f>
        <v/>
      </c>
      <c r="G77" s="12" t="str">
        <f t="shared" si="5"/>
        <v/>
      </c>
      <c r="H77" s="13" t="str">
        <f t="shared" si="6"/>
        <v/>
      </c>
      <c r="I77" s="12" t="str">
        <f t="shared" si="7"/>
        <v/>
      </c>
      <c r="J77" s="12" t="str">
        <f t="shared" si="8"/>
        <v/>
      </c>
      <c r="K77" s="12" t="str">
        <f t="shared" si="9"/>
        <v/>
      </c>
      <c r="L77" s="10" t="str">
        <f>IF(Инвентаризация!C77="","",Инвентаризация!M77)</f>
        <v/>
      </c>
      <c r="M77" s="10" t="str">
        <f>IF(Инвентаризация!C77="","",Инвентаризация!N77)</f>
        <v/>
      </c>
      <c r="N77" s="10" t="str">
        <f>IF(Инвентаризация!C77="","",Инвентаризация!O77)</f>
        <v/>
      </c>
      <c r="O77" s="10" t="str">
        <f>IF(Инвентаризация!C77="","",Инвентаризация!P77)</f>
        <v/>
      </c>
      <c r="P77" s="8" t="str">
        <f>IF(Инвентаризация!C77="","",Инвентаризация!Q77)</f>
        <v/>
      </c>
    </row>
    <row r="78" spans="1:16">
      <c r="A78" s="10" t="str">
        <f>IF(Инвентаризация!C78="","",Инвентаризация!B78)</f>
        <v/>
      </c>
      <c r="B78" s="10" t="str">
        <f>IF(Инвентаризация!C78="","",Инвентаризация!C78)</f>
        <v/>
      </c>
      <c r="C78" s="5" t="str">
        <f>IF(Инвентаризация!C78="","",Инвентаризация!D78)</f>
        <v/>
      </c>
      <c r="D78" s="11" t="str">
        <f>IF(Инвентаризация!C78="","",Инвентаризация!E78)</f>
        <v/>
      </c>
      <c r="E78" s="12" t="str">
        <f>IF(Инвентаризация!C78="","",Инвентаризация!F78)</f>
        <v/>
      </c>
      <c r="F78" s="12" t="str">
        <f>IF(Инвентаризация!C78="","",Инвентаризация!G78)</f>
        <v/>
      </c>
      <c r="G78" s="12" t="str">
        <f t="shared" si="5"/>
        <v/>
      </c>
      <c r="H78" s="13" t="str">
        <f t="shared" si="6"/>
        <v/>
      </c>
      <c r="I78" s="12" t="str">
        <f t="shared" si="7"/>
        <v/>
      </c>
      <c r="J78" s="12" t="str">
        <f t="shared" si="8"/>
        <v/>
      </c>
      <c r="K78" s="12" t="str">
        <f t="shared" si="9"/>
        <v/>
      </c>
      <c r="L78" s="10" t="str">
        <f>IF(Инвентаризация!C78="","",Инвентаризация!M78)</f>
        <v/>
      </c>
      <c r="M78" s="10" t="str">
        <f>IF(Инвентаризация!C78="","",Инвентаризация!N78)</f>
        <v/>
      </c>
      <c r="N78" s="10" t="str">
        <f>IF(Инвентаризация!C78="","",Инвентаризация!O78)</f>
        <v/>
      </c>
      <c r="O78" s="10" t="str">
        <f>IF(Инвентаризация!C78="","",Инвентаризация!P78)</f>
        <v/>
      </c>
      <c r="P78" s="8" t="str">
        <f>IF(Инвентаризация!C78="","",Инвентаризация!Q78)</f>
        <v/>
      </c>
    </row>
    <row r="79" spans="1:16">
      <c r="A79" s="10" t="str">
        <f>IF(Инвентаризация!C79="","",Инвентаризация!B79)</f>
        <v/>
      </c>
      <c r="B79" s="10" t="str">
        <f>IF(Инвентаризация!C79="","",Инвентаризация!C79)</f>
        <v/>
      </c>
      <c r="C79" s="5" t="str">
        <f>IF(Инвентаризация!C79="","",Инвентаризация!D79)</f>
        <v/>
      </c>
      <c r="D79" s="11" t="str">
        <f>IF(Инвентаризация!C79="","",Инвентаризация!E79)</f>
        <v/>
      </c>
      <c r="E79" s="12" t="str">
        <f>IF(Инвентаризация!C79="","",Инвентаризация!F79)</f>
        <v/>
      </c>
      <c r="F79" s="12" t="str">
        <f>IF(Инвентаризация!C79="","",Инвентаризация!G79)</f>
        <v/>
      </c>
      <c r="G79" s="12" t="str">
        <f t="shared" si="5"/>
        <v/>
      </c>
      <c r="H79" s="13" t="str">
        <f t="shared" si="6"/>
        <v/>
      </c>
      <c r="I79" s="12" t="str">
        <f t="shared" si="7"/>
        <v/>
      </c>
      <c r="J79" s="12" t="str">
        <f t="shared" si="8"/>
        <v/>
      </c>
      <c r="K79" s="12" t="str">
        <f t="shared" si="9"/>
        <v/>
      </c>
      <c r="L79" s="10" t="str">
        <f>IF(Инвентаризация!C79="","",Инвентаризация!M79)</f>
        <v/>
      </c>
      <c r="M79" s="10" t="str">
        <f>IF(Инвентаризация!C79="","",Инвентаризация!N79)</f>
        <v/>
      </c>
      <c r="N79" s="10" t="str">
        <f>IF(Инвентаризация!C79="","",Инвентаризация!O79)</f>
        <v/>
      </c>
      <c r="O79" s="10" t="str">
        <f>IF(Инвентаризация!C79="","",Инвентаризация!P79)</f>
        <v/>
      </c>
      <c r="P79" s="8" t="str">
        <f>IF(Инвентаризация!C79="","",Инвентаризация!Q79)</f>
        <v/>
      </c>
    </row>
    <row r="80" spans="1:16">
      <c r="A80" s="10" t="str">
        <f>IF(Инвентаризация!C80="","",Инвентаризация!B80)</f>
        <v/>
      </c>
      <c r="B80" s="10" t="str">
        <f>IF(Инвентаризация!C80="","",Инвентаризация!C80)</f>
        <v/>
      </c>
      <c r="C80" s="5" t="str">
        <f>IF(Инвентаризация!C80="","",Инвентаризация!D80)</f>
        <v/>
      </c>
      <c r="D80" s="11" t="str">
        <f>IF(Инвентаризация!C80="","",Инвентаризация!E80)</f>
        <v/>
      </c>
      <c r="E80" s="12" t="str">
        <f>IF(Инвентаризация!C80="","",Инвентаризация!F80)</f>
        <v/>
      </c>
      <c r="F80" s="12" t="str">
        <f>IF(Инвентаризация!C80="","",Инвентаризация!G80)</f>
        <v/>
      </c>
      <c r="G80" s="12" t="str">
        <f t="shared" si="5"/>
        <v/>
      </c>
      <c r="H80" s="13" t="str">
        <f t="shared" si="6"/>
        <v/>
      </c>
      <c r="I80" s="12" t="str">
        <f t="shared" si="7"/>
        <v/>
      </c>
      <c r="J80" s="12" t="str">
        <f t="shared" si="8"/>
        <v/>
      </c>
      <c r="K80" s="12" t="str">
        <f t="shared" si="9"/>
        <v/>
      </c>
      <c r="L80" s="10" t="str">
        <f>IF(Инвентаризация!C80="","",Инвентаризация!M80)</f>
        <v/>
      </c>
      <c r="M80" s="10" t="str">
        <f>IF(Инвентаризация!C80="","",Инвентаризация!N80)</f>
        <v/>
      </c>
      <c r="N80" s="10" t="str">
        <f>IF(Инвентаризация!C80="","",Инвентаризация!O80)</f>
        <v/>
      </c>
      <c r="O80" s="10" t="str">
        <f>IF(Инвентаризация!C80="","",Инвентаризация!P80)</f>
        <v/>
      </c>
      <c r="P80" s="8" t="str">
        <f>IF(Инвентаризация!C80="","",Инвентаризация!Q80)</f>
        <v/>
      </c>
    </row>
    <row r="81" spans="1:16">
      <c r="A81" s="10" t="str">
        <f>IF(Инвентаризация!C81="","",Инвентаризация!B81)</f>
        <v/>
      </c>
      <c r="B81" s="10" t="str">
        <f>IF(Инвентаризация!C81="","",Инвентаризация!C81)</f>
        <v/>
      </c>
      <c r="C81" s="5" t="str">
        <f>IF(Инвентаризация!C81="","",Инвентаризация!D81)</f>
        <v/>
      </c>
      <c r="D81" s="11" t="str">
        <f>IF(Инвентаризация!C81="","",Инвентаризация!E81)</f>
        <v/>
      </c>
      <c r="E81" s="12" t="str">
        <f>IF(Инвентаризация!C81="","",Инвентаризация!F81)</f>
        <v/>
      </c>
      <c r="F81" s="12" t="str">
        <f>IF(Инвентаризация!C81="","",Инвентаризация!G81)</f>
        <v/>
      </c>
      <c r="G81" s="12" t="str">
        <f t="shared" si="5"/>
        <v/>
      </c>
      <c r="H81" s="13" t="str">
        <f t="shared" si="6"/>
        <v/>
      </c>
      <c r="I81" s="12" t="str">
        <f t="shared" si="7"/>
        <v/>
      </c>
      <c r="J81" s="12" t="str">
        <f t="shared" si="8"/>
        <v/>
      </c>
      <c r="K81" s="12" t="str">
        <f t="shared" si="9"/>
        <v/>
      </c>
      <c r="L81" s="10" t="str">
        <f>IF(Инвентаризация!C81="","",Инвентаризация!M81)</f>
        <v/>
      </c>
      <c r="M81" s="10" t="str">
        <f>IF(Инвентаризация!C81="","",Инвентаризация!N81)</f>
        <v/>
      </c>
      <c r="N81" s="10" t="str">
        <f>IF(Инвентаризация!C81="","",Инвентаризация!O81)</f>
        <v/>
      </c>
      <c r="O81" s="10" t="str">
        <f>IF(Инвентаризация!C81="","",Инвентаризация!P81)</f>
        <v/>
      </c>
      <c r="P81" s="8" t="str">
        <f>IF(Инвентаризация!C81="","",Инвентаризация!Q81)</f>
        <v/>
      </c>
    </row>
    <row r="82" spans="1:16">
      <c r="A82" s="10" t="str">
        <f>IF(Инвентаризация!C82="","",Инвентаризация!B82)</f>
        <v/>
      </c>
      <c r="B82" s="10" t="str">
        <f>IF(Инвентаризация!C82="","",Инвентаризация!C82)</f>
        <v/>
      </c>
      <c r="C82" s="5" t="str">
        <f>IF(Инвентаризация!C82="","",Инвентаризация!D82)</f>
        <v/>
      </c>
      <c r="D82" s="11" t="str">
        <f>IF(Инвентаризация!C82="","",Инвентаризация!E82)</f>
        <v/>
      </c>
      <c r="E82" s="12" t="str">
        <f>IF(Инвентаризация!C82="","",Инвентаризация!F82)</f>
        <v/>
      </c>
      <c r="F82" s="12" t="str">
        <f>IF(Инвентаризация!C82="","",Инвентаризация!G82)</f>
        <v/>
      </c>
      <c r="G82" s="12" t="str">
        <f t="shared" si="5"/>
        <v/>
      </c>
      <c r="H82" s="13" t="str">
        <f t="shared" si="6"/>
        <v/>
      </c>
      <c r="I82" s="12" t="str">
        <f t="shared" si="7"/>
        <v/>
      </c>
      <c r="J82" s="12" t="str">
        <f t="shared" si="8"/>
        <v/>
      </c>
      <c r="K82" s="12" t="str">
        <f t="shared" si="9"/>
        <v/>
      </c>
      <c r="L82" s="10" t="str">
        <f>IF(Инвентаризация!C82="","",Инвентаризация!M82)</f>
        <v/>
      </c>
      <c r="M82" s="10" t="str">
        <f>IF(Инвентаризация!C82="","",Инвентаризация!N82)</f>
        <v/>
      </c>
      <c r="N82" s="10" t="str">
        <f>IF(Инвентаризация!C82="","",Инвентаризация!O82)</f>
        <v/>
      </c>
      <c r="O82" s="10" t="str">
        <f>IF(Инвентаризация!C82="","",Инвентаризация!P82)</f>
        <v/>
      </c>
      <c r="P82" s="8" t="str">
        <f>IF(Инвентаризация!C82="","",Инвентаризация!Q82)</f>
        <v/>
      </c>
    </row>
    <row r="83" spans="1:16">
      <c r="A83" s="10" t="str">
        <f>IF(Инвентаризация!C83="","",Инвентаризация!B83)</f>
        <v/>
      </c>
      <c r="B83" s="10" t="str">
        <f>IF(Инвентаризация!C83="","",Инвентаризация!C83)</f>
        <v/>
      </c>
      <c r="C83" s="5" t="str">
        <f>IF(Инвентаризация!C83="","",Инвентаризация!D83)</f>
        <v/>
      </c>
      <c r="D83" s="11" t="str">
        <f>IF(Инвентаризация!C83="","",Инвентаризация!E83)</f>
        <v/>
      </c>
      <c r="E83" s="12" t="str">
        <f>IF(Инвентаризация!C83="","",Инвентаризация!F83)</f>
        <v/>
      </c>
      <c r="F83" s="12" t="str">
        <f>IF(Инвентаризация!C83="","",Инвентаризация!G83)</f>
        <v/>
      </c>
      <c r="G83" s="12" t="str">
        <f t="shared" si="5"/>
        <v/>
      </c>
      <c r="H83" s="13" t="str">
        <f t="shared" si="6"/>
        <v/>
      </c>
      <c r="I83" s="12" t="str">
        <f t="shared" si="7"/>
        <v/>
      </c>
      <c r="J83" s="12" t="str">
        <f t="shared" si="8"/>
        <v/>
      </c>
      <c r="K83" s="12" t="str">
        <f t="shared" si="9"/>
        <v/>
      </c>
      <c r="L83" s="10" t="str">
        <f>IF(Инвентаризация!C83="","",Инвентаризация!M83)</f>
        <v/>
      </c>
      <c r="M83" s="10" t="str">
        <f>IF(Инвентаризация!C83="","",Инвентаризация!N83)</f>
        <v/>
      </c>
      <c r="N83" s="10" t="str">
        <f>IF(Инвентаризация!C83="","",Инвентаризация!O83)</f>
        <v/>
      </c>
      <c r="O83" s="10" t="str">
        <f>IF(Инвентаризация!C83="","",Инвентаризация!P83)</f>
        <v/>
      </c>
      <c r="P83" s="8" t="str">
        <f>IF(Инвентаризация!C83="","",Инвентаризация!Q83)</f>
        <v/>
      </c>
    </row>
    <row r="84" spans="1:16">
      <c r="A84" s="10" t="str">
        <f>IF(Инвентаризация!C84="","",Инвентаризация!B84)</f>
        <v/>
      </c>
      <c r="B84" s="10" t="str">
        <f>IF(Инвентаризация!C84="","",Инвентаризация!C84)</f>
        <v/>
      </c>
      <c r="C84" s="5" t="str">
        <f>IF(Инвентаризация!C84="","",Инвентаризация!D84)</f>
        <v/>
      </c>
      <c r="D84" s="11" t="str">
        <f>IF(Инвентаризация!C84="","",Инвентаризация!E84)</f>
        <v/>
      </c>
      <c r="E84" s="12" t="str">
        <f>IF(Инвентаризация!C84="","",Инвентаризация!F84)</f>
        <v/>
      </c>
      <c r="F84" s="12" t="str">
        <f>IF(Инвентаризация!C84="","",Инвентаризация!G84)</f>
        <v/>
      </c>
      <c r="G84" s="12" t="str">
        <f t="shared" si="5"/>
        <v/>
      </c>
      <c r="H84" s="13" t="str">
        <f t="shared" si="6"/>
        <v/>
      </c>
      <c r="I84" s="12" t="str">
        <f t="shared" si="7"/>
        <v/>
      </c>
      <c r="J84" s="12" t="str">
        <f t="shared" si="8"/>
        <v/>
      </c>
      <c r="K84" s="12" t="str">
        <f t="shared" si="9"/>
        <v/>
      </c>
      <c r="L84" s="10" t="str">
        <f>IF(Инвентаризация!C84="","",Инвентаризация!M84)</f>
        <v/>
      </c>
      <c r="M84" s="10" t="str">
        <f>IF(Инвентаризация!C84="","",Инвентаризация!N84)</f>
        <v/>
      </c>
      <c r="N84" s="10" t="str">
        <f>IF(Инвентаризация!C84="","",Инвентаризация!O84)</f>
        <v/>
      </c>
      <c r="O84" s="10" t="str">
        <f>IF(Инвентаризация!C84="","",Инвентаризация!P84)</f>
        <v/>
      </c>
      <c r="P84" s="8" t="str">
        <f>IF(Инвентаризация!C84="","",Инвентаризация!Q84)</f>
        <v/>
      </c>
    </row>
    <row r="85" spans="1:16">
      <c r="A85" s="10" t="str">
        <f>IF(Инвентаризация!C85="","",Инвентаризация!B85)</f>
        <v/>
      </c>
      <c r="B85" s="10" t="str">
        <f>IF(Инвентаризация!C85="","",Инвентаризация!C85)</f>
        <v/>
      </c>
      <c r="C85" s="5" t="str">
        <f>IF(Инвентаризация!C85="","",Инвентаризация!D85)</f>
        <v/>
      </c>
      <c r="D85" s="11" t="str">
        <f>IF(Инвентаризация!C85="","",Инвентаризация!E85)</f>
        <v/>
      </c>
      <c r="E85" s="12" t="str">
        <f>IF(Инвентаризация!C85="","",Инвентаризация!F85)</f>
        <v/>
      </c>
      <c r="F85" s="12" t="str">
        <f>IF(Инвентаризация!C85="","",Инвентаризация!G85)</f>
        <v/>
      </c>
      <c r="G85" s="12" t="str">
        <f t="shared" si="5"/>
        <v/>
      </c>
      <c r="H85" s="13" t="str">
        <f t="shared" si="6"/>
        <v/>
      </c>
      <c r="I85" s="12" t="str">
        <f t="shared" si="7"/>
        <v/>
      </c>
      <c r="J85" s="12" t="str">
        <f t="shared" si="8"/>
        <v/>
      </c>
      <c r="K85" s="12" t="str">
        <f t="shared" si="9"/>
        <v/>
      </c>
      <c r="L85" s="10" t="str">
        <f>IF(Инвентаризация!C85="","",Инвентаризация!M85)</f>
        <v/>
      </c>
      <c r="M85" s="10" t="str">
        <f>IF(Инвентаризация!C85="","",Инвентаризация!N85)</f>
        <v/>
      </c>
      <c r="N85" s="10" t="str">
        <f>IF(Инвентаризация!C85="","",Инвентаризация!O85)</f>
        <v/>
      </c>
      <c r="O85" s="10" t="str">
        <f>IF(Инвентаризация!C85="","",Инвентаризация!P85)</f>
        <v/>
      </c>
      <c r="P85" s="8" t="str">
        <f>IF(Инвентаризация!C85="","",Инвентаризация!Q85)</f>
        <v/>
      </c>
    </row>
    <row r="86" spans="1:16">
      <c r="A86" s="10" t="str">
        <f>IF(Инвентаризация!C86="","",Инвентаризация!B86)</f>
        <v/>
      </c>
      <c r="B86" s="10" t="str">
        <f>IF(Инвентаризация!C86="","",Инвентаризация!C86)</f>
        <v/>
      </c>
      <c r="C86" s="5" t="str">
        <f>IF(Инвентаризация!C86="","",Инвентаризация!D86)</f>
        <v/>
      </c>
      <c r="D86" s="11" t="str">
        <f>IF(Инвентаризация!C86="","",Инвентаризация!E86)</f>
        <v/>
      </c>
      <c r="E86" s="12" t="str">
        <f>IF(Инвентаризация!C86="","",Инвентаризация!F86)</f>
        <v/>
      </c>
      <c r="F86" s="12" t="str">
        <f>IF(Инвентаризация!C86="","",Инвентаризация!G86)</f>
        <v/>
      </c>
      <c r="G86" s="12" t="str">
        <f t="shared" si="5"/>
        <v/>
      </c>
      <c r="H86" s="13" t="str">
        <f t="shared" si="6"/>
        <v/>
      </c>
      <c r="I86" s="12" t="str">
        <f t="shared" si="7"/>
        <v/>
      </c>
      <c r="J86" s="12" t="str">
        <f t="shared" si="8"/>
        <v/>
      </c>
      <c r="K86" s="12" t="str">
        <f t="shared" si="9"/>
        <v/>
      </c>
      <c r="L86" s="10" t="str">
        <f>IF(Инвентаризация!C86="","",Инвентаризация!M86)</f>
        <v/>
      </c>
      <c r="M86" s="10" t="str">
        <f>IF(Инвентаризация!C86="","",Инвентаризация!N86)</f>
        <v/>
      </c>
      <c r="N86" s="10" t="str">
        <f>IF(Инвентаризация!C86="","",Инвентаризация!O86)</f>
        <v/>
      </c>
      <c r="O86" s="10" t="str">
        <f>IF(Инвентаризация!C86="","",Инвентаризация!P86)</f>
        <v/>
      </c>
      <c r="P86" s="8" t="str">
        <f>IF(Инвентаризация!C86="","",Инвентаризация!Q86)</f>
        <v/>
      </c>
    </row>
    <row r="87" spans="1:16">
      <c r="A87" s="10" t="str">
        <f>IF(Инвентаризация!C87="","",Инвентаризация!B87)</f>
        <v/>
      </c>
      <c r="B87" s="10" t="str">
        <f>IF(Инвентаризация!C87="","",Инвентаризация!C87)</f>
        <v/>
      </c>
      <c r="C87" s="5" t="str">
        <f>IF(Инвентаризация!C87="","",Инвентаризация!D87)</f>
        <v/>
      </c>
      <c r="D87" s="11" t="str">
        <f>IF(Инвентаризация!C87="","",Инвентаризация!E87)</f>
        <v/>
      </c>
      <c r="E87" s="12" t="str">
        <f>IF(Инвентаризация!C87="","",Инвентаризация!F87)</f>
        <v/>
      </c>
      <c r="F87" s="12" t="str">
        <f>IF(Инвентаризация!C87="","",Инвентаризация!G87)</f>
        <v/>
      </c>
      <c r="G87" s="12" t="str">
        <f t="shared" si="5"/>
        <v/>
      </c>
      <c r="H87" s="13" t="str">
        <f t="shared" si="6"/>
        <v/>
      </c>
      <c r="I87" s="12" t="str">
        <f t="shared" si="7"/>
        <v/>
      </c>
      <c r="J87" s="12" t="str">
        <f t="shared" si="8"/>
        <v/>
      </c>
      <c r="K87" s="12" t="str">
        <f t="shared" si="9"/>
        <v/>
      </c>
      <c r="L87" s="10" t="str">
        <f>IF(Инвентаризация!C87="","",Инвентаризация!M87)</f>
        <v/>
      </c>
      <c r="M87" s="10" t="str">
        <f>IF(Инвентаризация!C87="","",Инвентаризация!N87)</f>
        <v/>
      </c>
      <c r="N87" s="10" t="str">
        <f>IF(Инвентаризация!C87="","",Инвентаризация!O87)</f>
        <v/>
      </c>
      <c r="O87" s="10" t="str">
        <f>IF(Инвентаризация!C87="","",Инвентаризация!P87)</f>
        <v/>
      </c>
      <c r="P87" s="8" t="str">
        <f>IF(Инвентаризация!C87="","",Инвентаризация!Q87)</f>
        <v/>
      </c>
    </row>
    <row r="88" spans="1:16">
      <c r="A88" s="10" t="str">
        <f>IF(Инвентаризация!C88="","",Инвентаризация!B88)</f>
        <v/>
      </c>
      <c r="B88" s="10" t="str">
        <f>IF(Инвентаризация!C88="","",Инвентаризация!C88)</f>
        <v/>
      </c>
      <c r="C88" s="5" t="str">
        <f>IF(Инвентаризация!C88="","",Инвентаризация!D88)</f>
        <v/>
      </c>
      <c r="D88" s="11" t="str">
        <f>IF(Инвентаризация!C88="","",Инвентаризация!E88)</f>
        <v/>
      </c>
      <c r="E88" s="12" t="str">
        <f>IF(Инвентаризация!C88="","",Инвентаризация!F88)</f>
        <v/>
      </c>
      <c r="F88" s="12" t="str">
        <f>IF(Инвентаризация!C88="","",Инвентаризация!G88)</f>
        <v/>
      </c>
      <c r="G88" s="12" t="str">
        <f t="shared" si="5"/>
        <v/>
      </c>
      <c r="H88" s="13" t="str">
        <f t="shared" si="6"/>
        <v/>
      </c>
      <c r="I88" s="12" t="str">
        <f t="shared" si="7"/>
        <v/>
      </c>
      <c r="J88" s="12" t="str">
        <f t="shared" si="8"/>
        <v/>
      </c>
      <c r="K88" s="12" t="str">
        <f t="shared" si="9"/>
        <v/>
      </c>
      <c r="L88" s="10" t="str">
        <f>IF(Инвентаризация!C88="","",Инвентаризация!M88)</f>
        <v/>
      </c>
      <c r="M88" s="10" t="str">
        <f>IF(Инвентаризация!C88="","",Инвентаризация!N88)</f>
        <v/>
      </c>
      <c r="N88" s="10" t="str">
        <f>IF(Инвентаризация!C88="","",Инвентаризация!O88)</f>
        <v/>
      </c>
      <c r="O88" s="10" t="str">
        <f>IF(Инвентаризация!C88="","",Инвентаризация!P88)</f>
        <v/>
      </c>
      <c r="P88" s="8" t="str">
        <f>IF(Инвентаризация!C88="","",Инвентаризация!Q88)</f>
        <v/>
      </c>
    </row>
    <row r="89" spans="1:16">
      <c r="A89" s="10" t="str">
        <f>IF(Инвентаризация!C89="","",Инвентаризация!B89)</f>
        <v/>
      </c>
      <c r="B89" s="10" t="str">
        <f>IF(Инвентаризация!C89="","",Инвентаризация!C89)</f>
        <v/>
      </c>
      <c r="C89" s="5" t="str">
        <f>IF(Инвентаризация!C89="","",Инвентаризация!D89)</f>
        <v/>
      </c>
      <c r="D89" s="11" t="str">
        <f>IF(Инвентаризация!C89="","",Инвентаризация!E89)</f>
        <v/>
      </c>
      <c r="E89" s="12" t="str">
        <f>IF(Инвентаризация!C89="","",Инвентаризация!F89)</f>
        <v/>
      </c>
      <c r="F89" s="12" t="str">
        <f>IF(Инвентаризация!C89="","",Инвентаризация!G89)</f>
        <v/>
      </c>
      <c r="G89" s="12" t="str">
        <f t="shared" si="5"/>
        <v/>
      </c>
      <c r="H89" s="13" t="str">
        <f t="shared" si="6"/>
        <v/>
      </c>
      <c r="I89" s="12" t="str">
        <f t="shared" si="7"/>
        <v/>
      </c>
      <c r="J89" s="12" t="str">
        <f t="shared" si="8"/>
        <v/>
      </c>
      <c r="K89" s="12" t="str">
        <f t="shared" si="9"/>
        <v/>
      </c>
      <c r="L89" s="10" t="str">
        <f>IF(Инвентаризация!C89="","",Инвентаризация!M89)</f>
        <v/>
      </c>
      <c r="M89" s="10" t="str">
        <f>IF(Инвентаризация!C89="","",Инвентаризация!N89)</f>
        <v/>
      </c>
      <c r="N89" s="10" t="str">
        <f>IF(Инвентаризация!C89="","",Инвентаризация!O89)</f>
        <v/>
      </c>
      <c r="O89" s="10" t="str">
        <f>IF(Инвентаризация!C89="","",Инвентаризация!P89)</f>
        <v/>
      </c>
      <c r="P89" s="8" t="str">
        <f>IF(Инвентаризация!C89="","",Инвентаризация!Q89)</f>
        <v/>
      </c>
    </row>
    <row r="90" spans="1:16">
      <c r="A90" s="10" t="str">
        <f>IF(Инвентаризация!C90="","",Инвентаризация!B90)</f>
        <v/>
      </c>
      <c r="B90" s="10" t="str">
        <f>IF(Инвентаризация!C90="","",Инвентаризация!C90)</f>
        <v/>
      </c>
      <c r="C90" s="5" t="str">
        <f>IF(Инвентаризация!C90="","",Инвентаризация!D90)</f>
        <v/>
      </c>
      <c r="D90" s="11" t="str">
        <f>IF(Инвентаризация!C90="","",Инвентаризация!E90)</f>
        <v/>
      </c>
      <c r="E90" s="12" t="str">
        <f>IF(Инвентаризация!C90="","",Инвентаризация!F90)</f>
        <v/>
      </c>
      <c r="F90" s="12" t="str">
        <f>IF(Инвентаризация!C90="","",Инвентаризация!G90)</f>
        <v/>
      </c>
      <c r="G90" s="12" t="str">
        <f t="shared" si="5"/>
        <v/>
      </c>
      <c r="H90" s="13" t="str">
        <f t="shared" si="6"/>
        <v/>
      </c>
      <c r="I90" s="12" t="str">
        <f t="shared" si="7"/>
        <v/>
      </c>
      <c r="J90" s="12" t="str">
        <f t="shared" si="8"/>
        <v/>
      </c>
      <c r="K90" s="12" t="str">
        <f t="shared" si="9"/>
        <v/>
      </c>
      <c r="L90" s="10" t="str">
        <f>IF(Инвентаризация!C90="","",Инвентаризация!M90)</f>
        <v/>
      </c>
      <c r="M90" s="10" t="str">
        <f>IF(Инвентаризация!C90="","",Инвентаризация!N90)</f>
        <v/>
      </c>
      <c r="N90" s="10" t="str">
        <f>IF(Инвентаризация!C90="","",Инвентаризация!O90)</f>
        <v/>
      </c>
      <c r="O90" s="10" t="str">
        <f>IF(Инвентаризация!C90="","",Инвентаризация!P90)</f>
        <v/>
      </c>
      <c r="P90" s="8" t="str">
        <f>IF(Инвентаризация!C90="","",Инвентаризация!Q90)</f>
        <v/>
      </c>
    </row>
    <row r="91" spans="1:16">
      <c r="A91" s="10" t="str">
        <f>IF(Инвентаризация!C91="","",Инвентаризация!B91)</f>
        <v/>
      </c>
      <c r="B91" s="10" t="str">
        <f>IF(Инвентаризация!C91="","",Инвентаризация!C91)</f>
        <v/>
      </c>
      <c r="C91" s="5" t="str">
        <f>IF(Инвентаризация!C91="","",Инвентаризация!D91)</f>
        <v/>
      </c>
      <c r="D91" s="11" t="str">
        <f>IF(Инвентаризация!C91="","",Инвентаризация!E91)</f>
        <v/>
      </c>
      <c r="E91" s="12" t="str">
        <f>IF(Инвентаризация!C91="","",Инвентаризация!F91)</f>
        <v/>
      </c>
      <c r="F91" s="12" t="str">
        <f>IF(Инвентаризация!C91="","",Инвентаризация!G91)</f>
        <v/>
      </c>
      <c r="G91" s="12" t="str">
        <f t="shared" si="5"/>
        <v/>
      </c>
      <c r="H91" s="13" t="str">
        <f t="shared" si="6"/>
        <v/>
      </c>
      <c r="I91" s="12" t="str">
        <f t="shared" si="7"/>
        <v/>
      </c>
      <c r="J91" s="12" t="str">
        <f t="shared" si="8"/>
        <v/>
      </c>
      <c r="K91" s="12" t="str">
        <f t="shared" si="9"/>
        <v/>
      </c>
      <c r="L91" s="10" t="str">
        <f>IF(Инвентаризация!C91="","",Инвентаризация!M91)</f>
        <v/>
      </c>
      <c r="M91" s="10" t="str">
        <f>IF(Инвентаризация!C91="","",Инвентаризация!N91)</f>
        <v/>
      </c>
      <c r="N91" s="10" t="str">
        <f>IF(Инвентаризация!C91="","",Инвентаризация!O91)</f>
        <v/>
      </c>
      <c r="O91" s="10" t="str">
        <f>IF(Инвентаризация!C91="","",Инвентаризация!P91)</f>
        <v/>
      </c>
      <c r="P91" s="8" t="str">
        <f>IF(Инвентаризация!C91="","",Инвентаризация!Q91)</f>
        <v/>
      </c>
    </row>
    <row r="92" spans="1:16">
      <c r="A92" s="10" t="str">
        <f>IF(Инвентаризация!C92="","",Инвентаризация!B92)</f>
        <v/>
      </c>
      <c r="B92" s="10" t="str">
        <f>IF(Инвентаризация!C92="","",Инвентаризация!C92)</f>
        <v/>
      </c>
      <c r="C92" s="5" t="str">
        <f>IF(Инвентаризация!C92="","",Инвентаризация!D92)</f>
        <v/>
      </c>
      <c r="D92" s="11" t="str">
        <f>IF(Инвентаризация!C92="","",Инвентаризация!E92)</f>
        <v/>
      </c>
      <c r="E92" s="12" t="str">
        <f>IF(Инвентаризация!C92="","",Инвентаризация!F92)</f>
        <v/>
      </c>
      <c r="F92" s="12" t="str">
        <f>IF(Инвентаризация!C92="","",Инвентаризация!G92)</f>
        <v/>
      </c>
      <c r="G92" s="12" t="str">
        <f t="shared" si="5"/>
        <v/>
      </c>
      <c r="H92" s="13" t="str">
        <f t="shared" si="6"/>
        <v/>
      </c>
      <c r="I92" s="12" t="str">
        <f t="shared" si="7"/>
        <v/>
      </c>
      <c r="J92" s="12" t="str">
        <f t="shared" si="8"/>
        <v/>
      </c>
      <c r="K92" s="12" t="str">
        <f t="shared" si="9"/>
        <v/>
      </c>
      <c r="L92" s="10" t="str">
        <f>IF(Инвентаризация!C92="","",Инвентаризация!M92)</f>
        <v/>
      </c>
      <c r="M92" s="10" t="str">
        <f>IF(Инвентаризация!C92="","",Инвентаризация!N92)</f>
        <v/>
      </c>
      <c r="N92" s="10" t="str">
        <f>IF(Инвентаризация!C92="","",Инвентаризация!O92)</f>
        <v/>
      </c>
      <c r="O92" s="10" t="str">
        <f>IF(Инвентаризация!C92="","",Инвентаризация!P92)</f>
        <v/>
      </c>
      <c r="P92" s="8" t="str">
        <f>IF(Инвентаризация!C92="","",Инвентаризация!Q92)</f>
        <v/>
      </c>
    </row>
    <row r="93" spans="1:16">
      <c r="A93" s="10" t="str">
        <f>IF(Инвентаризация!C93="","",Инвентаризация!B93)</f>
        <v/>
      </c>
      <c r="B93" s="10" t="str">
        <f>IF(Инвентаризация!C93="","",Инвентаризация!C93)</f>
        <v/>
      </c>
      <c r="C93" s="5" t="str">
        <f>IF(Инвентаризация!C93="","",Инвентаризация!D93)</f>
        <v/>
      </c>
      <c r="D93" s="11" t="str">
        <f>IF(Инвентаризация!C93="","",Инвентаризация!E93)</f>
        <v/>
      </c>
      <c r="E93" s="12" t="str">
        <f>IF(Инвентаризация!C93="","",Инвентаризация!F93)</f>
        <v/>
      </c>
      <c r="F93" s="12" t="str">
        <f>IF(Инвентаризация!C93="","",Инвентаризация!G93)</f>
        <v/>
      </c>
      <c r="G93" s="12" t="str">
        <f t="shared" si="5"/>
        <v/>
      </c>
      <c r="H93" s="13" t="str">
        <f t="shared" si="6"/>
        <v/>
      </c>
      <c r="I93" s="12" t="str">
        <f t="shared" si="7"/>
        <v/>
      </c>
      <c r="J93" s="12" t="str">
        <f t="shared" si="8"/>
        <v/>
      </c>
      <c r="K93" s="12" t="str">
        <f t="shared" si="9"/>
        <v/>
      </c>
      <c r="L93" s="10" t="str">
        <f>IF(Инвентаризация!C93="","",Инвентаризация!M93)</f>
        <v/>
      </c>
      <c r="M93" s="10" t="str">
        <f>IF(Инвентаризация!C93="","",Инвентаризация!N93)</f>
        <v/>
      </c>
      <c r="N93" s="10" t="str">
        <f>IF(Инвентаризация!C93="","",Инвентаризация!O93)</f>
        <v/>
      </c>
      <c r="O93" s="10" t="str">
        <f>IF(Инвентаризация!C93="","",Инвентаризация!P93)</f>
        <v/>
      </c>
      <c r="P93" s="8" t="str">
        <f>IF(Инвентаризация!C93="","",Инвентаризация!Q93)</f>
        <v/>
      </c>
    </row>
    <row r="94" spans="1:16">
      <c r="A94" s="10" t="str">
        <f>IF(Инвентаризация!C94="","",Инвентаризация!B94)</f>
        <v/>
      </c>
      <c r="B94" s="10" t="str">
        <f>IF(Инвентаризация!C94="","",Инвентаризация!C94)</f>
        <v/>
      </c>
      <c r="C94" s="5" t="str">
        <f>IF(Инвентаризация!C94="","",Инвентаризация!D94)</f>
        <v/>
      </c>
      <c r="D94" s="11" t="str">
        <f>IF(Инвентаризация!C94="","",Инвентаризация!E94)</f>
        <v/>
      </c>
      <c r="E94" s="12" t="str">
        <f>IF(Инвентаризация!C94="","",Инвентаризация!F94)</f>
        <v/>
      </c>
      <c r="F94" s="12" t="str">
        <f>IF(Инвентаризация!C94="","",Инвентаризация!G94)</f>
        <v/>
      </c>
      <c r="G94" s="12" t="str">
        <f t="shared" si="5"/>
        <v/>
      </c>
      <c r="H94" s="13" t="str">
        <f t="shared" si="6"/>
        <v/>
      </c>
      <c r="I94" s="12" t="str">
        <f t="shared" si="7"/>
        <v/>
      </c>
      <c r="J94" s="12" t="str">
        <f t="shared" si="8"/>
        <v/>
      </c>
      <c r="K94" s="12" t="str">
        <f t="shared" si="9"/>
        <v/>
      </c>
      <c r="L94" s="10" t="str">
        <f>IF(Инвентаризация!C94="","",Инвентаризация!M94)</f>
        <v/>
      </c>
      <c r="M94" s="10" t="str">
        <f>IF(Инвентаризация!C94="","",Инвентаризация!N94)</f>
        <v/>
      </c>
      <c r="N94" s="10" t="str">
        <f>IF(Инвентаризация!C94="","",Инвентаризация!O94)</f>
        <v/>
      </c>
      <c r="O94" s="10" t="str">
        <f>IF(Инвентаризация!C94="","",Инвентаризация!P94)</f>
        <v/>
      </c>
      <c r="P94" s="8" t="str">
        <f>IF(Инвентаризация!C94="","",Инвентаризация!Q94)</f>
        <v/>
      </c>
    </row>
    <row r="95" spans="1:16">
      <c r="A95" s="10" t="str">
        <f>IF(Инвентаризация!C95="","",Инвентаризация!B95)</f>
        <v/>
      </c>
      <c r="B95" s="10" t="str">
        <f>IF(Инвентаризация!C95="","",Инвентаризация!C95)</f>
        <v/>
      </c>
      <c r="C95" s="5" t="str">
        <f>IF(Инвентаризация!C95="","",Инвентаризация!D95)</f>
        <v/>
      </c>
      <c r="D95" s="11" t="str">
        <f>IF(Инвентаризация!C95="","",Инвентаризация!E95)</f>
        <v/>
      </c>
      <c r="E95" s="12" t="str">
        <f>IF(Инвентаризация!C95="","",Инвентаризация!F95)</f>
        <v/>
      </c>
      <c r="F95" s="12" t="str">
        <f>IF(Инвентаризация!C95="","",Инвентаризация!G95)</f>
        <v/>
      </c>
      <c r="G95" s="12" t="str">
        <f t="shared" si="5"/>
        <v/>
      </c>
      <c r="H95" s="13" t="str">
        <f t="shared" si="6"/>
        <v/>
      </c>
      <c r="I95" s="12" t="str">
        <f t="shared" si="7"/>
        <v/>
      </c>
      <c r="J95" s="12" t="str">
        <f t="shared" si="8"/>
        <v/>
      </c>
      <c r="K95" s="12" t="str">
        <f t="shared" si="9"/>
        <v/>
      </c>
      <c r="L95" s="10" t="str">
        <f>IF(Инвентаризация!C95="","",Инвентаризация!M95)</f>
        <v/>
      </c>
      <c r="M95" s="10" t="str">
        <f>IF(Инвентаризация!C95="","",Инвентаризация!N95)</f>
        <v/>
      </c>
      <c r="N95" s="10" t="str">
        <f>IF(Инвентаризация!C95="","",Инвентаризация!O95)</f>
        <v/>
      </c>
      <c r="O95" s="10" t="str">
        <f>IF(Инвентаризация!C95="","",Инвентаризация!P95)</f>
        <v/>
      </c>
      <c r="P95" s="8" t="str">
        <f>IF(Инвентаризация!C95="","",Инвентаризация!Q95)</f>
        <v/>
      </c>
    </row>
    <row r="96" spans="1:16">
      <c r="A96" s="10" t="str">
        <f>IF(Инвентаризация!C96="","",Инвентаризация!B96)</f>
        <v/>
      </c>
      <c r="B96" s="10" t="str">
        <f>IF(Инвентаризация!C96="","",Инвентаризация!C96)</f>
        <v/>
      </c>
      <c r="C96" s="5" t="str">
        <f>IF(Инвентаризация!C96="","",Инвентаризация!D96)</f>
        <v/>
      </c>
      <c r="D96" s="11" t="str">
        <f>IF(Инвентаризация!C96="","",Инвентаризация!E96)</f>
        <v/>
      </c>
      <c r="E96" s="12" t="str">
        <f>IF(Инвентаризация!C96="","",Инвентаризация!F96)</f>
        <v/>
      </c>
      <c r="F96" s="12" t="str">
        <f>IF(Инвентаризация!C96="","",Инвентаризация!G96)</f>
        <v/>
      </c>
      <c r="G96" s="12" t="str">
        <f t="shared" si="5"/>
        <v/>
      </c>
      <c r="H96" s="13" t="str">
        <f t="shared" si="6"/>
        <v/>
      </c>
      <c r="I96" s="12" t="str">
        <f t="shared" si="7"/>
        <v/>
      </c>
      <c r="J96" s="12" t="str">
        <f t="shared" si="8"/>
        <v/>
      </c>
      <c r="K96" s="12" t="str">
        <f t="shared" si="9"/>
        <v/>
      </c>
      <c r="L96" s="10" t="str">
        <f>IF(Инвентаризация!C96="","",Инвентаризация!M96)</f>
        <v/>
      </c>
      <c r="M96" s="10" t="str">
        <f>IF(Инвентаризация!C96="","",Инвентаризация!N96)</f>
        <v/>
      </c>
      <c r="N96" s="10" t="str">
        <f>IF(Инвентаризация!C96="","",Инвентаризация!O96)</f>
        <v/>
      </c>
      <c r="O96" s="10" t="str">
        <f>IF(Инвентаризация!C96="","",Инвентаризация!P96)</f>
        <v/>
      </c>
      <c r="P96" s="8" t="str">
        <f>IF(Инвентаризация!C96="","",Инвентаризация!Q96)</f>
        <v/>
      </c>
    </row>
    <row r="97" spans="1:16">
      <c r="A97" s="10" t="str">
        <f>IF(Инвентаризация!C97="","",Инвентаризация!B97)</f>
        <v/>
      </c>
      <c r="B97" s="10" t="str">
        <f>IF(Инвентаризация!C97="","",Инвентаризация!C97)</f>
        <v/>
      </c>
      <c r="C97" s="5" t="str">
        <f>IF(Инвентаризация!C97="","",Инвентаризация!D97)</f>
        <v/>
      </c>
      <c r="D97" s="11" t="str">
        <f>IF(Инвентаризация!C97="","",Инвентаризация!E97)</f>
        <v/>
      </c>
      <c r="E97" s="12" t="str">
        <f>IF(Инвентаризация!C97="","",Инвентаризация!F97)</f>
        <v/>
      </c>
      <c r="F97" s="12" t="str">
        <f>IF(Инвентаризация!C97="","",Инвентаризация!G97)</f>
        <v/>
      </c>
      <c r="G97" s="12" t="str">
        <f t="shared" si="5"/>
        <v/>
      </c>
      <c r="H97" s="13" t="str">
        <f t="shared" si="6"/>
        <v/>
      </c>
      <c r="I97" s="12" t="str">
        <f t="shared" si="7"/>
        <v/>
      </c>
      <c r="J97" s="12" t="str">
        <f t="shared" si="8"/>
        <v/>
      </c>
      <c r="K97" s="12" t="str">
        <f t="shared" si="9"/>
        <v/>
      </c>
      <c r="L97" s="10" t="str">
        <f>IF(Инвентаризация!C97="","",Инвентаризация!M97)</f>
        <v/>
      </c>
      <c r="M97" s="10" t="str">
        <f>IF(Инвентаризация!C97="","",Инвентаризация!N97)</f>
        <v/>
      </c>
      <c r="N97" s="10" t="str">
        <f>IF(Инвентаризация!C97="","",Инвентаризация!O97)</f>
        <v/>
      </c>
      <c r="O97" s="10" t="str">
        <f>IF(Инвентаризация!C97="","",Инвентаризация!P97)</f>
        <v/>
      </c>
      <c r="P97" s="8" t="str">
        <f>IF(Инвентаризация!C97="","",Инвентаризация!Q97)</f>
        <v/>
      </c>
    </row>
    <row r="98" spans="1:16">
      <c r="A98" s="10" t="str">
        <f>IF(Инвентаризация!C98="","",Инвентаризация!B98)</f>
        <v/>
      </c>
      <c r="B98" s="10" t="str">
        <f>IF(Инвентаризация!C98="","",Инвентаризация!C98)</f>
        <v/>
      </c>
      <c r="C98" s="5" t="str">
        <f>IF(Инвентаризация!C98="","",Инвентаризация!D98)</f>
        <v/>
      </c>
      <c r="D98" s="11" t="str">
        <f>IF(Инвентаризация!C98="","",Инвентаризация!E98)</f>
        <v/>
      </c>
      <c r="E98" s="12" t="str">
        <f>IF(Инвентаризация!C98="","",Инвентаризация!F98)</f>
        <v/>
      </c>
      <c r="F98" s="12" t="str">
        <f>IF(Инвентаризация!C98="","",Инвентаризация!G98)</f>
        <v/>
      </c>
      <c r="G98" s="12" t="str">
        <f t="shared" si="5"/>
        <v/>
      </c>
      <c r="H98" s="13" t="str">
        <f t="shared" si="6"/>
        <v/>
      </c>
      <c r="I98" s="12" t="str">
        <f t="shared" si="7"/>
        <v/>
      </c>
      <c r="J98" s="12" t="str">
        <f t="shared" si="8"/>
        <v/>
      </c>
      <c r="K98" s="12" t="str">
        <f t="shared" si="9"/>
        <v/>
      </c>
      <c r="L98" s="10" t="str">
        <f>IF(Инвентаризация!C98="","",Инвентаризация!M98)</f>
        <v/>
      </c>
      <c r="M98" s="10" t="str">
        <f>IF(Инвентаризация!C98="","",Инвентаризация!N98)</f>
        <v/>
      </c>
      <c r="N98" s="10" t="str">
        <f>IF(Инвентаризация!C98="","",Инвентаризация!O98)</f>
        <v/>
      </c>
      <c r="O98" s="10" t="str">
        <f>IF(Инвентаризация!C98="","",Инвентаризация!P98)</f>
        <v/>
      </c>
      <c r="P98" s="8" t="str">
        <f>IF(Инвентаризация!C98="","",Инвентаризация!Q98)</f>
        <v/>
      </c>
    </row>
    <row r="99" spans="1:16">
      <c r="A99" s="10" t="str">
        <f>IF(Инвентаризация!C99="","",Инвентаризация!B99)</f>
        <v/>
      </c>
      <c r="B99" s="10" t="str">
        <f>IF(Инвентаризация!C99="","",Инвентаризация!C99)</f>
        <v/>
      </c>
      <c r="C99" s="5" t="str">
        <f>IF(Инвентаризация!C99="","",Инвентаризация!D99)</f>
        <v/>
      </c>
      <c r="D99" s="11" t="str">
        <f>IF(Инвентаризация!C99="","",Инвентаризация!E99)</f>
        <v/>
      </c>
      <c r="E99" s="12" t="str">
        <f>IF(Инвентаризация!C99="","",Инвентаризация!F99)</f>
        <v/>
      </c>
      <c r="F99" s="12" t="str">
        <f>IF(Инвентаризация!C99="","",Инвентаризация!G99)</f>
        <v/>
      </c>
      <c r="G99" s="12" t="str">
        <f t="shared" si="5"/>
        <v/>
      </c>
      <c r="H99" s="13" t="str">
        <f t="shared" si="6"/>
        <v/>
      </c>
      <c r="I99" s="12" t="str">
        <f t="shared" si="7"/>
        <v/>
      </c>
      <c r="J99" s="12" t="str">
        <f t="shared" si="8"/>
        <v/>
      </c>
      <c r="K99" s="12" t="str">
        <f t="shared" si="9"/>
        <v/>
      </c>
      <c r="L99" s="10" t="str">
        <f>IF(Инвентаризация!C99="","",Инвентаризация!M99)</f>
        <v/>
      </c>
      <c r="M99" s="10" t="str">
        <f>IF(Инвентаризация!C99="","",Инвентаризация!N99)</f>
        <v/>
      </c>
      <c r="N99" s="10" t="str">
        <f>IF(Инвентаризация!C99="","",Инвентаризация!O99)</f>
        <v/>
      </c>
      <c r="O99" s="10" t="str">
        <f>IF(Инвентаризация!C99="","",Инвентаризация!P99)</f>
        <v/>
      </c>
      <c r="P99" s="8" t="str">
        <f>IF(Инвентаризация!C99="","",Инвентаризация!Q99)</f>
        <v/>
      </c>
    </row>
    <row r="100" spans="1:16">
      <c r="A100" s="10" t="str">
        <f>IF(Инвентаризация!C100="","",Инвентаризация!B100)</f>
        <v/>
      </c>
      <c r="B100" s="10" t="str">
        <f>IF(Инвентаризация!C100="","",Инвентаризация!C100)</f>
        <v/>
      </c>
      <c r="C100" s="5" t="str">
        <f>IF(Инвентаризация!C100="","",Инвентаризация!D100)</f>
        <v/>
      </c>
      <c r="D100" s="11" t="str">
        <f>IF(Инвентаризация!C100="","",Инвентаризация!E100)</f>
        <v/>
      </c>
      <c r="E100" s="12" t="str">
        <f>IF(Инвентаризация!C100="","",Инвентаризация!F100)</f>
        <v/>
      </c>
      <c r="F100" s="12" t="str">
        <f>IF(Инвентаризация!C100="","",Инвентаризация!G100)</f>
        <v/>
      </c>
      <c r="G100" s="12" t="str">
        <f t="shared" si="5"/>
        <v/>
      </c>
      <c r="H100" s="13" t="str">
        <f t="shared" si="6"/>
        <v/>
      </c>
      <c r="I100" s="12" t="str">
        <f t="shared" si="7"/>
        <v/>
      </c>
      <c r="J100" s="12" t="str">
        <f t="shared" si="8"/>
        <v/>
      </c>
      <c r="K100" s="12" t="str">
        <f t="shared" si="9"/>
        <v/>
      </c>
      <c r="L100" s="10" t="str">
        <f>IF(Инвентаризация!C100="","",Инвентаризация!M100)</f>
        <v/>
      </c>
      <c r="M100" s="10" t="str">
        <f>IF(Инвентаризация!C100="","",Инвентаризация!N100)</f>
        <v/>
      </c>
      <c r="N100" s="10" t="str">
        <f>IF(Инвентаризация!C100="","",Инвентаризация!O100)</f>
        <v/>
      </c>
      <c r="O100" s="10" t="str">
        <f>IF(Инвентаризация!C100="","",Инвентаризация!P100)</f>
        <v/>
      </c>
      <c r="P100" s="8" t="str">
        <f>IF(Инвентаризация!C100="","",Инвентаризация!Q100)</f>
        <v/>
      </c>
    </row>
    <row r="101" spans="1:16">
      <c r="A101" s="10" t="str">
        <f>IF(Инвентаризация!C101="","",Инвентаризация!B101)</f>
        <v/>
      </c>
      <c r="B101" s="10" t="str">
        <f>IF(Инвентаризация!C101="","",Инвентаризация!C101)</f>
        <v/>
      </c>
      <c r="C101" s="5" t="str">
        <f>IF(Инвентаризация!C101="","",Инвентаризация!D101)</f>
        <v/>
      </c>
      <c r="D101" s="11" t="str">
        <f>IF(Инвентаризация!C101="","",Инвентаризация!E101)</f>
        <v/>
      </c>
      <c r="E101" s="12" t="str">
        <f>IF(Инвентаризация!C101="","",Инвентаризация!F101)</f>
        <v/>
      </c>
      <c r="F101" s="12" t="str">
        <f>IF(Инвентаризация!C101="","",Инвентаризация!G101)</f>
        <v/>
      </c>
      <c r="G101" s="12" t="str">
        <f t="shared" si="5"/>
        <v/>
      </c>
      <c r="H101" s="13" t="str">
        <f t="shared" si="6"/>
        <v/>
      </c>
      <c r="I101" s="12" t="str">
        <f t="shared" si="7"/>
        <v/>
      </c>
      <c r="J101" s="12" t="str">
        <f t="shared" si="8"/>
        <v/>
      </c>
      <c r="K101" s="12" t="str">
        <f t="shared" si="9"/>
        <v/>
      </c>
      <c r="L101" s="10" t="str">
        <f>IF(Инвентаризация!C101="","",Инвентаризация!M101)</f>
        <v/>
      </c>
      <c r="M101" s="10" t="str">
        <f>IF(Инвентаризация!C101="","",Инвентаризация!N101)</f>
        <v/>
      </c>
      <c r="N101" s="10" t="str">
        <f>IF(Инвентаризация!C101="","",Инвентаризация!O101)</f>
        <v/>
      </c>
      <c r="O101" s="10" t="str">
        <f>IF(Инвентаризация!C101="","",Инвентаризация!P101)</f>
        <v/>
      </c>
      <c r="P101" s="8" t="str">
        <f>IF(Инвентаризация!C101="","",Инвентаризация!Q101)</f>
        <v/>
      </c>
    </row>
    <row r="102" spans="1:16">
      <c r="A102" s="10" t="str">
        <f>IF(Инвентаризация!C102="","",Инвентаризация!B102)</f>
        <v/>
      </c>
      <c r="B102" s="10" t="str">
        <f>IF(Инвентаризация!C102="","",Инвентаризация!C102)</f>
        <v/>
      </c>
      <c r="C102" s="5" t="str">
        <f>IF(Инвентаризация!C102="","",Инвентаризация!D102)</f>
        <v/>
      </c>
      <c r="D102" s="11" t="str">
        <f>IF(Инвентаризация!C102="","",Инвентаризация!E102)</f>
        <v/>
      </c>
      <c r="E102" s="12" t="str">
        <f>IF(Инвентаризация!C102="","",Инвентаризация!F102)</f>
        <v/>
      </c>
      <c r="F102" s="12" t="str">
        <f>IF(Инвентаризация!C102="","",Инвентаризация!G102)</f>
        <v/>
      </c>
      <c r="G102" s="12" t="str">
        <f t="shared" si="5"/>
        <v/>
      </c>
      <c r="H102" s="13" t="str">
        <f t="shared" si="6"/>
        <v/>
      </c>
      <c r="I102" s="12" t="str">
        <f t="shared" si="7"/>
        <v/>
      </c>
      <c r="J102" s="12" t="str">
        <f t="shared" si="8"/>
        <v/>
      </c>
      <c r="K102" s="12" t="str">
        <f t="shared" si="9"/>
        <v/>
      </c>
      <c r="L102" s="10" t="str">
        <f>IF(Инвентаризация!C102="","",Инвентаризация!M102)</f>
        <v/>
      </c>
      <c r="M102" s="10" t="str">
        <f>IF(Инвентаризация!C102="","",Инвентаризация!N102)</f>
        <v/>
      </c>
      <c r="N102" s="10" t="str">
        <f>IF(Инвентаризация!C102="","",Инвентаризация!O102)</f>
        <v/>
      </c>
      <c r="O102" s="10" t="str">
        <f>IF(Инвентаризация!C102="","",Инвентаризация!P102)</f>
        <v/>
      </c>
      <c r="P102" s="8" t="str">
        <f>IF(Инвентаризация!C102="","",Инвентаризация!Q102)</f>
        <v/>
      </c>
    </row>
    <row r="103" spans="1:16">
      <c r="A103" s="10" t="str">
        <f>IF(Инвентаризация!C103="","",Инвентаризация!B103)</f>
        <v/>
      </c>
      <c r="B103" s="10" t="str">
        <f>IF(Инвентаризация!C103="","",Инвентаризация!C103)</f>
        <v/>
      </c>
      <c r="C103" s="5" t="str">
        <f>IF(Инвентаризация!C103="","",Инвентаризация!D103)</f>
        <v/>
      </c>
      <c r="D103" s="11" t="str">
        <f>IF(Инвентаризация!C103="","",Инвентаризация!E103)</f>
        <v/>
      </c>
      <c r="E103" s="12" t="str">
        <f>IF(Инвентаризация!C103="","",Инвентаризация!F103)</f>
        <v/>
      </c>
      <c r="F103" s="12" t="str">
        <f>IF(Инвентаризация!C103="","",Инвентаризация!G103)</f>
        <v/>
      </c>
      <c r="G103" s="12" t="str">
        <f t="shared" si="5"/>
        <v/>
      </c>
      <c r="H103" s="13" t="str">
        <f t="shared" si="6"/>
        <v/>
      </c>
      <c r="I103" s="12" t="str">
        <f t="shared" si="7"/>
        <v/>
      </c>
      <c r="J103" s="12" t="str">
        <f t="shared" si="8"/>
        <v/>
      </c>
      <c r="K103" s="12" t="str">
        <f t="shared" si="9"/>
        <v/>
      </c>
      <c r="L103" s="10" t="str">
        <f>IF(Инвентаризация!C103="","",Инвентаризация!M103)</f>
        <v/>
      </c>
      <c r="M103" s="10" t="str">
        <f>IF(Инвентаризация!C103="","",Инвентаризация!N103)</f>
        <v/>
      </c>
      <c r="N103" s="10" t="str">
        <f>IF(Инвентаризация!C103="","",Инвентаризация!O103)</f>
        <v/>
      </c>
      <c r="O103" s="10" t="str">
        <f>IF(Инвентаризация!C103="","",Инвентаризация!P103)</f>
        <v/>
      </c>
      <c r="P103" s="8" t="str">
        <f>IF(Инвентаризация!C103="","",Инвентаризация!Q103)</f>
        <v/>
      </c>
    </row>
    <row r="104" spans="1:16">
      <c r="A104" s="10" t="str">
        <f>IF(Инвентаризация!C104="","",Инвентаризация!B104)</f>
        <v/>
      </c>
      <c r="B104" s="10" t="str">
        <f>IF(Инвентаризация!C104="","",Инвентаризация!C104)</f>
        <v/>
      </c>
      <c r="C104" s="5" t="str">
        <f>IF(Инвентаризация!C104="","",Инвентаризация!D104)</f>
        <v/>
      </c>
      <c r="D104" s="11" t="str">
        <f>IF(Инвентаризация!C104="","",Инвентаризация!E104)</f>
        <v/>
      </c>
      <c r="E104" s="12" t="str">
        <f>IF(Инвентаризация!C104="","",Инвентаризация!F104)</f>
        <v/>
      </c>
      <c r="F104" s="12" t="str">
        <f>IF(Инвентаризация!C104="","",Инвентаризация!G104)</f>
        <v/>
      </c>
      <c r="G104" s="12" t="str">
        <f t="shared" si="5"/>
        <v/>
      </c>
      <c r="H104" s="13" t="str">
        <f t="shared" si="6"/>
        <v/>
      </c>
      <c r="I104" s="12" t="str">
        <f t="shared" si="7"/>
        <v/>
      </c>
      <c r="J104" s="12" t="str">
        <f t="shared" si="8"/>
        <v/>
      </c>
      <c r="K104" s="12" t="str">
        <f t="shared" si="9"/>
        <v/>
      </c>
      <c r="L104" s="10" t="str">
        <f>IF(Инвентаризация!C104="","",Инвентаризация!M104)</f>
        <v/>
      </c>
      <c r="M104" s="10" t="str">
        <f>IF(Инвентаризация!C104="","",Инвентаризация!N104)</f>
        <v/>
      </c>
      <c r="N104" s="10" t="str">
        <f>IF(Инвентаризация!C104="","",Инвентаризация!O104)</f>
        <v/>
      </c>
      <c r="O104" s="10" t="str">
        <f>IF(Инвентаризация!C104="","",Инвентаризация!P104)</f>
        <v/>
      </c>
      <c r="P104" s="8" t="str">
        <f>IF(Инвентаризация!C104="","",Инвентаризация!Q104)</f>
        <v/>
      </c>
    </row>
    <row r="105" spans="1:16">
      <c r="A105" s="10" t="str">
        <f>IF(Инвентаризация!C105="","",Инвентаризация!B105)</f>
        <v/>
      </c>
      <c r="B105" s="10" t="str">
        <f>IF(Инвентаризация!C105="","",Инвентаризация!C105)</f>
        <v/>
      </c>
      <c r="C105" s="5" t="str">
        <f>IF(Инвентаризация!C105="","",Инвентаризация!D105)</f>
        <v/>
      </c>
      <c r="D105" s="11" t="str">
        <f>IF(Инвентаризация!C105="","",Инвентаризация!E105)</f>
        <v/>
      </c>
      <c r="E105" s="12" t="str">
        <f>IF(Инвентаризация!C105="","",Инвентаризация!F105)</f>
        <v/>
      </c>
      <c r="F105" s="12" t="str">
        <f>IF(Инвентаризация!C105="","",Инвентаризация!G105)</f>
        <v/>
      </c>
      <c r="G105" s="12" t="str">
        <f t="shared" si="5"/>
        <v/>
      </c>
      <c r="H105" s="13" t="str">
        <f t="shared" si="6"/>
        <v/>
      </c>
      <c r="I105" s="12" t="str">
        <f t="shared" si="7"/>
        <v/>
      </c>
      <c r="J105" s="12" t="str">
        <f t="shared" si="8"/>
        <v/>
      </c>
      <c r="K105" s="12" t="str">
        <f t="shared" si="9"/>
        <v/>
      </c>
      <c r="L105" s="10" t="str">
        <f>IF(Инвентаризация!C105="","",Инвентаризация!M105)</f>
        <v/>
      </c>
      <c r="M105" s="10" t="str">
        <f>IF(Инвентаризация!C105="","",Инвентаризация!N105)</f>
        <v/>
      </c>
      <c r="N105" s="10" t="str">
        <f>IF(Инвентаризация!C105="","",Инвентаризация!O105)</f>
        <v/>
      </c>
      <c r="O105" s="10" t="str">
        <f>IF(Инвентаризация!C105="","",Инвентаризация!P105)</f>
        <v/>
      </c>
      <c r="P105" s="8" t="str">
        <f>IF(Инвентаризация!C105="","",Инвентаризация!Q105)</f>
        <v/>
      </c>
    </row>
    <row r="106" spans="1:16">
      <c r="A106" s="10" t="str">
        <f>IF(Инвентаризация!C106="","",Инвентаризация!B106)</f>
        <v/>
      </c>
      <c r="B106" s="10" t="str">
        <f>IF(Инвентаризация!C106="","",Инвентаризация!C106)</f>
        <v/>
      </c>
      <c r="C106" s="5" t="str">
        <f>IF(Инвентаризация!C106="","",Инвентаризация!D106)</f>
        <v/>
      </c>
      <c r="D106" s="11" t="str">
        <f>IF(Инвентаризация!C106="","",Инвентаризация!E106)</f>
        <v/>
      </c>
      <c r="E106" s="12" t="str">
        <f>IF(Инвентаризация!C106="","",Инвентаризация!F106)</f>
        <v/>
      </c>
      <c r="F106" s="12" t="str">
        <f>IF(Инвентаризация!C106="","",Инвентаризация!G106)</f>
        <v/>
      </c>
      <c r="G106" s="12" t="str">
        <f t="shared" si="5"/>
        <v/>
      </c>
      <c r="H106" s="13" t="str">
        <f t="shared" si="6"/>
        <v/>
      </c>
      <c r="I106" s="12" t="str">
        <f t="shared" si="7"/>
        <v/>
      </c>
      <c r="J106" s="12" t="str">
        <f t="shared" si="8"/>
        <v/>
      </c>
      <c r="K106" s="12" t="str">
        <f t="shared" si="9"/>
        <v/>
      </c>
      <c r="L106" s="10" t="str">
        <f>IF(Инвентаризация!C106="","",Инвентаризация!M106)</f>
        <v/>
      </c>
      <c r="M106" s="10" t="str">
        <f>IF(Инвентаризация!C106="","",Инвентаризация!N106)</f>
        <v/>
      </c>
      <c r="N106" s="10" t="str">
        <f>IF(Инвентаризация!C106="","",Инвентаризация!O106)</f>
        <v/>
      </c>
      <c r="O106" s="10" t="str">
        <f>IF(Инвентаризация!C106="","",Инвентаризация!P106)</f>
        <v/>
      </c>
      <c r="P106" s="8" t="str">
        <f>IF(Инвентаризация!C106="","",Инвентаризация!Q106)</f>
        <v/>
      </c>
    </row>
    <row r="107" spans="1:16">
      <c r="A107" s="10" t="str">
        <f>IF(Инвентаризация!C107="","",Инвентаризация!B107)</f>
        <v/>
      </c>
      <c r="B107" s="10" t="str">
        <f>IF(Инвентаризация!C107="","",Инвентаризация!C107)</f>
        <v/>
      </c>
      <c r="C107" s="5" t="str">
        <f>IF(Инвентаризация!C107="","",Инвентаризация!D107)</f>
        <v/>
      </c>
      <c r="D107" s="11" t="str">
        <f>IF(Инвентаризация!C107="","",Инвентаризация!E107)</f>
        <v/>
      </c>
      <c r="E107" s="12" t="str">
        <f>IF(Инвентаризация!C107="","",Инвентаризация!F107)</f>
        <v/>
      </c>
      <c r="F107" s="12" t="str">
        <f>IF(Инвентаризация!C107="","",Инвентаризация!G107)</f>
        <v/>
      </c>
      <c r="G107" s="12" t="str">
        <f t="shared" si="5"/>
        <v/>
      </c>
      <c r="H107" s="13" t="str">
        <f t="shared" si="6"/>
        <v/>
      </c>
      <c r="I107" s="12" t="str">
        <f t="shared" si="7"/>
        <v/>
      </c>
      <c r="J107" s="12" t="str">
        <f t="shared" si="8"/>
        <v/>
      </c>
      <c r="K107" s="12" t="str">
        <f t="shared" si="9"/>
        <v/>
      </c>
      <c r="L107" s="10" t="str">
        <f>IF(Инвентаризация!C107="","",Инвентаризация!M107)</f>
        <v/>
      </c>
      <c r="M107" s="10" t="str">
        <f>IF(Инвентаризация!C107="","",Инвентаризация!N107)</f>
        <v/>
      </c>
      <c r="N107" s="10" t="str">
        <f>IF(Инвентаризация!C107="","",Инвентаризация!O107)</f>
        <v/>
      </c>
      <c r="O107" s="10" t="str">
        <f>IF(Инвентаризация!C107="","",Инвентаризация!P107)</f>
        <v/>
      </c>
      <c r="P107" s="8" t="str">
        <f>IF(Инвентаризация!C107="","",Инвентаризация!Q107)</f>
        <v/>
      </c>
    </row>
    <row r="108" spans="1:16">
      <c r="A108" s="10" t="str">
        <f>IF(Инвентаризация!C108="","",Инвентаризация!B108)</f>
        <v/>
      </c>
      <c r="B108" s="10" t="str">
        <f>IF(Инвентаризация!C108="","",Инвентаризация!C108)</f>
        <v/>
      </c>
      <c r="C108" s="5" t="str">
        <f>IF(Инвентаризация!C108="","",Инвентаризация!D108)</f>
        <v/>
      </c>
      <c r="D108" s="11" t="str">
        <f>IF(Инвентаризация!C108="","",Инвентаризация!E108)</f>
        <v/>
      </c>
      <c r="E108" s="12" t="str">
        <f>IF(Инвентаризация!C108="","",Инвентаризация!F108)</f>
        <v/>
      </c>
      <c r="F108" s="12" t="str">
        <f>IF(Инвентаризация!C108="","",Инвентаризация!G108)</f>
        <v/>
      </c>
      <c r="G108" s="12" t="str">
        <f t="shared" si="5"/>
        <v/>
      </c>
      <c r="H108" s="13" t="str">
        <f t="shared" si="6"/>
        <v/>
      </c>
      <c r="I108" s="12" t="str">
        <f t="shared" si="7"/>
        <v/>
      </c>
      <c r="J108" s="12" t="str">
        <f t="shared" si="8"/>
        <v/>
      </c>
      <c r="K108" s="12" t="str">
        <f t="shared" si="9"/>
        <v/>
      </c>
      <c r="L108" s="10" t="str">
        <f>IF(Инвентаризация!C108="","",Инвентаризация!M108)</f>
        <v/>
      </c>
      <c r="M108" s="10" t="str">
        <f>IF(Инвентаризация!C108="","",Инвентаризация!N108)</f>
        <v/>
      </c>
      <c r="N108" s="10" t="str">
        <f>IF(Инвентаризация!C108="","",Инвентаризация!O108)</f>
        <v/>
      </c>
      <c r="O108" s="10" t="str">
        <f>IF(Инвентаризация!C108="","",Инвентаризация!P108)</f>
        <v/>
      </c>
      <c r="P108" s="8" t="str">
        <f>IF(Инвентаризация!C108="","",Инвентаризация!Q108)</f>
        <v/>
      </c>
    </row>
    <row r="109" spans="1:16">
      <c r="A109" s="10" t="str">
        <f>IF(Инвентаризация!C109="","",Инвентаризация!B109)</f>
        <v/>
      </c>
      <c r="B109" s="10" t="str">
        <f>IF(Инвентаризация!C109="","",Инвентаризация!C109)</f>
        <v/>
      </c>
      <c r="C109" s="5" t="str">
        <f>IF(Инвентаризация!C109="","",Инвентаризация!D109)</f>
        <v/>
      </c>
      <c r="D109" s="11" t="str">
        <f>IF(Инвентаризация!C109="","",Инвентаризация!E109)</f>
        <v/>
      </c>
      <c r="E109" s="12" t="str">
        <f>IF(Инвентаризация!C109="","",Инвентаризация!F109)</f>
        <v/>
      </c>
      <c r="F109" s="12" t="str">
        <f>IF(Инвентаризация!C109="","",Инвентаризация!G109)</f>
        <v/>
      </c>
      <c r="G109" s="12" t="str">
        <f t="shared" si="5"/>
        <v/>
      </c>
      <c r="H109" s="13" t="str">
        <f t="shared" si="6"/>
        <v/>
      </c>
      <c r="I109" s="12" t="str">
        <f t="shared" si="7"/>
        <v/>
      </c>
      <c r="J109" s="12" t="str">
        <f t="shared" si="8"/>
        <v/>
      </c>
      <c r="K109" s="12" t="str">
        <f t="shared" si="9"/>
        <v/>
      </c>
      <c r="L109" s="10" t="str">
        <f>IF(Инвентаризация!C109="","",Инвентаризация!M109)</f>
        <v/>
      </c>
      <c r="M109" s="10" t="str">
        <f>IF(Инвентаризация!C109="","",Инвентаризация!N109)</f>
        <v/>
      </c>
      <c r="N109" s="10" t="str">
        <f>IF(Инвентаризация!C109="","",Инвентаризация!O109)</f>
        <v/>
      </c>
      <c r="O109" s="10" t="str">
        <f>IF(Инвентаризация!C109="","",Инвентаризация!P109)</f>
        <v/>
      </c>
      <c r="P109" s="8" t="str">
        <f>IF(Инвентаризация!C109="","",Инвентаризация!Q109)</f>
        <v/>
      </c>
    </row>
    <row r="110" spans="1:16">
      <c r="A110" s="10" t="str">
        <f>IF(Инвентаризация!C110="","",Инвентаризация!B110)</f>
        <v/>
      </c>
      <c r="B110" s="10" t="str">
        <f>IF(Инвентаризация!C110="","",Инвентаризация!C110)</f>
        <v/>
      </c>
      <c r="C110" s="5" t="str">
        <f>IF(Инвентаризация!C110="","",Инвентаризация!D110)</f>
        <v/>
      </c>
      <c r="D110" s="11" t="str">
        <f>IF(Инвентаризация!C110="","",Инвентаризация!E110)</f>
        <v/>
      </c>
      <c r="E110" s="12" t="str">
        <f>IF(Инвентаризация!C110="","",Инвентаризация!F110)</f>
        <v/>
      </c>
      <c r="F110" s="12" t="str">
        <f>IF(Инвентаризация!C110="","",Инвентаризация!G110)</f>
        <v/>
      </c>
      <c r="G110" s="12" t="str">
        <f t="shared" si="5"/>
        <v/>
      </c>
      <c r="H110" s="13" t="str">
        <f t="shared" si="6"/>
        <v/>
      </c>
      <c r="I110" s="12" t="str">
        <f t="shared" si="7"/>
        <v/>
      </c>
      <c r="J110" s="12" t="str">
        <f t="shared" si="8"/>
        <v/>
      </c>
      <c r="K110" s="12" t="str">
        <f t="shared" si="9"/>
        <v/>
      </c>
      <c r="L110" s="10" t="str">
        <f>IF(Инвентаризация!C110="","",Инвентаризация!M110)</f>
        <v/>
      </c>
      <c r="M110" s="10" t="str">
        <f>IF(Инвентаризация!C110="","",Инвентаризация!N110)</f>
        <v/>
      </c>
      <c r="N110" s="10" t="str">
        <f>IF(Инвентаризация!C110="","",Инвентаризация!O110)</f>
        <v/>
      </c>
      <c r="O110" s="10" t="str">
        <f>IF(Инвентаризация!C110="","",Инвентаризация!P110)</f>
        <v/>
      </c>
      <c r="P110" s="8" t="str">
        <f>IF(Инвентаризация!C110="","",Инвентаризация!Q110)</f>
        <v/>
      </c>
    </row>
    <row r="111" spans="1:16">
      <c r="A111" s="10" t="str">
        <f>IF(Инвентаризация!C111="","",Инвентаризация!B111)</f>
        <v/>
      </c>
      <c r="B111" s="10" t="str">
        <f>IF(Инвентаризация!C111="","",Инвентаризация!C111)</f>
        <v/>
      </c>
      <c r="C111" s="5" t="str">
        <f>IF(Инвентаризация!C111="","",Инвентаризация!D111)</f>
        <v/>
      </c>
      <c r="D111" s="11" t="str">
        <f>IF(Инвентаризация!C111="","",Инвентаризация!E111)</f>
        <v/>
      </c>
      <c r="E111" s="12" t="str">
        <f>IF(Инвентаризация!C111="","",Инвентаризация!F111)</f>
        <v/>
      </c>
      <c r="F111" s="12" t="str">
        <f>IF(Инвентаризация!C111="","",Инвентаризация!G111)</f>
        <v/>
      </c>
      <c r="G111" s="12" t="str">
        <f t="shared" si="5"/>
        <v/>
      </c>
      <c r="H111" s="13" t="str">
        <f t="shared" si="6"/>
        <v/>
      </c>
      <c r="I111" s="12" t="str">
        <f t="shared" si="7"/>
        <v/>
      </c>
      <c r="J111" s="12" t="str">
        <f t="shared" si="8"/>
        <v/>
      </c>
      <c r="K111" s="12" t="str">
        <f t="shared" si="9"/>
        <v/>
      </c>
      <c r="L111" s="10" t="str">
        <f>IF(Инвентаризация!C111="","",Инвентаризация!M111)</f>
        <v/>
      </c>
      <c r="M111" s="10" t="str">
        <f>IF(Инвентаризация!C111="","",Инвентаризация!N111)</f>
        <v/>
      </c>
      <c r="N111" s="10" t="str">
        <f>IF(Инвентаризация!C111="","",Инвентаризация!O111)</f>
        <v/>
      </c>
      <c r="O111" s="10" t="str">
        <f>IF(Инвентаризация!C111="","",Инвентаризация!P111)</f>
        <v/>
      </c>
      <c r="P111" s="8" t="str">
        <f>IF(Инвентаризация!C111="","",Инвентаризация!Q111)</f>
        <v/>
      </c>
    </row>
    <row r="112" spans="1:16">
      <c r="A112" s="10" t="str">
        <f>IF(Инвентаризация!C112="","",Инвентаризация!B112)</f>
        <v/>
      </c>
      <c r="B112" s="10" t="str">
        <f>IF(Инвентаризация!C112="","",Инвентаризация!C112)</f>
        <v/>
      </c>
      <c r="C112" s="5" t="str">
        <f>IF(Инвентаризация!C112="","",Инвентаризация!D112)</f>
        <v/>
      </c>
      <c r="D112" s="11" t="str">
        <f>IF(Инвентаризация!C112="","",Инвентаризация!E112)</f>
        <v/>
      </c>
      <c r="E112" s="12" t="str">
        <f>IF(Инвентаризация!C112="","",Инвентаризация!F112)</f>
        <v/>
      </c>
      <c r="F112" s="12" t="str">
        <f>IF(Инвентаризация!C112="","",Инвентаризация!G112)</f>
        <v/>
      </c>
      <c r="G112" s="12" t="str">
        <f t="shared" si="5"/>
        <v/>
      </c>
      <c r="H112" s="13" t="str">
        <f t="shared" si="6"/>
        <v/>
      </c>
      <c r="I112" s="12" t="str">
        <f t="shared" si="7"/>
        <v/>
      </c>
      <c r="J112" s="12" t="str">
        <f t="shared" si="8"/>
        <v/>
      </c>
      <c r="K112" s="12" t="str">
        <f t="shared" si="9"/>
        <v/>
      </c>
      <c r="L112" s="10" t="str">
        <f>IF(Инвентаризация!C112="","",Инвентаризация!M112)</f>
        <v/>
      </c>
      <c r="M112" s="10" t="str">
        <f>IF(Инвентаризация!C112="","",Инвентаризация!N112)</f>
        <v/>
      </c>
      <c r="N112" s="10" t="str">
        <f>IF(Инвентаризация!C112="","",Инвентаризация!O112)</f>
        <v/>
      </c>
      <c r="O112" s="10" t="str">
        <f>IF(Инвентаризация!C112="","",Инвентаризация!P112)</f>
        <v/>
      </c>
      <c r="P112" s="8" t="str">
        <f>IF(Инвентаризация!C112="","",Инвентаризация!Q112)</f>
        <v/>
      </c>
    </row>
    <row r="113" spans="1:16">
      <c r="A113" s="10" t="str">
        <f>IF(Инвентаризация!C113="","",Инвентаризация!B113)</f>
        <v/>
      </c>
      <c r="B113" s="10" t="str">
        <f>IF(Инвентаризация!C113="","",Инвентаризация!C113)</f>
        <v/>
      </c>
      <c r="C113" s="5" t="str">
        <f>IF(Инвентаризация!C113="","",Инвентаризация!D113)</f>
        <v/>
      </c>
      <c r="D113" s="11" t="str">
        <f>IF(Инвентаризация!C113="","",Инвентаризация!E113)</f>
        <v/>
      </c>
      <c r="E113" s="12" t="str">
        <f>IF(Инвентаризация!C113="","",Инвентаризация!F113)</f>
        <v/>
      </c>
      <c r="F113" s="12" t="str">
        <f>IF(Инвентаризация!C113="","",Инвентаризация!G113)</f>
        <v/>
      </c>
      <c r="G113" s="12" t="str">
        <f t="shared" si="5"/>
        <v/>
      </c>
      <c r="H113" s="13" t="str">
        <f t="shared" si="6"/>
        <v/>
      </c>
      <c r="I113" s="12" t="str">
        <f t="shared" si="7"/>
        <v/>
      </c>
      <c r="J113" s="12" t="str">
        <f t="shared" si="8"/>
        <v/>
      </c>
      <c r="K113" s="12" t="str">
        <f t="shared" si="9"/>
        <v/>
      </c>
      <c r="L113" s="10" t="str">
        <f>IF(Инвентаризация!C113="","",Инвентаризация!M113)</f>
        <v/>
      </c>
      <c r="M113" s="10" t="str">
        <f>IF(Инвентаризация!C113="","",Инвентаризация!N113)</f>
        <v/>
      </c>
      <c r="N113" s="10" t="str">
        <f>IF(Инвентаризация!C113="","",Инвентаризация!O113)</f>
        <v/>
      </c>
      <c r="O113" s="10" t="str">
        <f>IF(Инвентаризация!C113="","",Инвентаризация!P113)</f>
        <v/>
      </c>
      <c r="P113" s="8" t="str">
        <f>IF(Инвентаризация!C113="","",Инвентаризация!Q113)</f>
        <v/>
      </c>
    </row>
    <row r="114" spans="1:16">
      <c r="A114" s="10" t="str">
        <f>IF(Инвентаризация!C114="","",Инвентаризация!B114)</f>
        <v/>
      </c>
      <c r="B114" s="10" t="str">
        <f>IF(Инвентаризация!C114="","",Инвентаризация!C114)</f>
        <v/>
      </c>
      <c r="C114" s="5" t="str">
        <f>IF(Инвентаризация!C114="","",Инвентаризация!D114)</f>
        <v/>
      </c>
      <c r="D114" s="11" t="str">
        <f>IF(Инвентаризация!C114="","",Инвентаризация!E114)</f>
        <v/>
      </c>
      <c r="E114" s="12" t="str">
        <f>IF(Инвентаризация!C114="","",Инвентаризация!F114)</f>
        <v/>
      </c>
      <c r="F114" s="12" t="str">
        <f>IF(Инвентаризация!C114="","",Инвентаризация!G114)</f>
        <v/>
      </c>
      <c r="G114" s="12" t="str">
        <f t="shared" si="5"/>
        <v/>
      </c>
      <c r="H114" s="13" t="str">
        <f t="shared" si="6"/>
        <v/>
      </c>
      <c r="I114" s="12" t="str">
        <f t="shared" si="7"/>
        <v/>
      </c>
      <c r="J114" s="12" t="str">
        <f t="shared" si="8"/>
        <v/>
      </c>
      <c r="K114" s="12" t="str">
        <f t="shared" si="9"/>
        <v/>
      </c>
      <c r="L114" s="10" t="str">
        <f>IF(Инвентаризация!C114="","",Инвентаризация!M114)</f>
        <v/>
      </c>
      <c r="M114" s="10" t="str">
        <f>IF(Инвентаризация!C114="","",Инвентаризация!N114)</f>
        <v/>
      </c>
      <c r="N114" s="10" t="str">
        <f>IF(Инвентаризация!C114="","",Инвентаризация!O114)</f>
        <v/>
      </c>
      <c r="O114" s="10" t="str">
        <f>IF(Инвентаризация!C114="","",Инвентаризация!P114)</f>
        <v/>
      </c>
      <c r="P114" s="8" t="str">
        <f>IF(Инвентаризация!C114="","",Инвентаризация!Q114)</f>
        <v/>
      </c>
    </row>
    <row r="115" spans="1:16">
      <c r="A115" s="10" t="str">
        <f>IF(Инвентаризация!C115="","",Инвентаризация!B115)</f>
        <v/>
      </c>
      <c r="B115" s="10" t="str">
        <f>IF(Инвентаризация!C115="","",Инвентаризация!C115)</f>
        <v/>
      </c>
      <c r="C115" s="5" t="str">
        <f>IF(Инвентаризация!C115="","",Инвентаризация!D115)</f>
        <v/>
      </c>
      <c r="D115" s="11" t="str">
        <f>IF(Инвентаризация!C115="","",Инвентаризация!E115)</f>
        <v/>
      </c>
      <c r="E115" s="12" t="str">
        <f>IF(Инвентаризация!C115="","",Инвентаризация!F115)</f>
        <v/>
      </c>
      <c r="F115" s="12" t="str">
        <f>IF(Инвентаризация!C115="","",Инвентаризация!G115)</f>
        <v/>
      </c>
      <c r="G115" s="12" t="str">
        <f t="shared" si="5"/>
        <v/>
      </c>
      <c r="H115" s="13" t="str">
        <f t="shared" si="6"/>
        <v/>
      </c>
      <c r="I115" s="12" t="str">
        <f t="shared" si="7"/>
        <v/>
      </c>
      <c r="J115" s="12" t="str">
        <f t="shared" si="8"/>
        <v/>
      </c>
      <c r="K115" s="12" t="str">
        <f t="shared" si="9"/>
        <v/>
      </c>
      <c r="L115" s="10" t="str">
        <f>IF(Инвентаризация!C115="","",Инвентаризация!M115)</f>
        <v/>
      </c>
      <c r="M115" s="10" t="str">
        <f>IF(Инвентаризация!C115="","",Инвентаризация!N115)</f>
        <v/>
      </c>
      <c r="N115" s="10" t="str">
        <f>IF(Инвентаризация!C115="","",Инвентаризация!O115)</f>
        <v/>
      </c>
      <c r="O115" s="10" t="str">
        <f>IF(Инвентаризация!C115="","",Инвентаризация!P115)</f>
        <v/>
      </c>
      <c r="P115" s="8" t="str">
        <f>IF(Инвентаризация!C115="","",Инвентаризация!Q115)</f>
        <v/>
      </c>
    </row>
    <row r="116" spans="1:16">
      <c r="A116" s="10" t="str">
        <f>IF(Инвентаризация!C116="","",Инвентаризация!B116)</f>
        <v/>
      </c>
      <c r="B116" s="10" t="str">
        <f>IF(Инвентаризация!C116="","",Инвентаризация!C116)</f>
        <v/>
      </c>
      <c r="C116" s="5" t="str">
        <f>IF(Инвентаризация!C116="","",Инвентаризация!D116)</f>
        <v/>
      </c>
      <c r="D116" s="11" t="str">
        <f>IF(Инвентаризация!C116="","",Инвентаризация!E116)</f>
        <v/>
      </c>
      <c r="E116" s="12" t="str">
        <f>IF(Инвентаризация!C116="","",Инвентаризация!F116)</f>
        <v/>
      </c>
      <c r="F116" s="12" t="str">
        <f>IF(Инвентаризация!C116="","",Инвентаризация!G116)</f>
        <v/>
      </c>
      <c r="G116" s="12" t="str">
        <f t="shared" si="5"/>
        <v/>
      </c>
      <c r="H116" s="13" t="str">
        <f t="shared" si="6"/>
        <v/>
      </c>
      <c r="I116" s="12" t="str">
        <f t="shared" si="7"/>
        <v/>
      </c>
      <c r="J116" s="12" t="str">
        <f t="shared" si="8"/>
        <v/>
      </c>
      <c r="K116" s="12" t="str">
        <f t="shared" si="9"/>
        <v/>
      </c>
      <c r="L116" s="10" t="str">
        <f>IF(Инвентаризация!C116="","",Инвентаризация!M116)</f>
        <v/>
      </c>
      <c r="M116" s="10" t="str">
        <f>IF(Инвентаризация!C116="","",Инвентаризация!N116)</f>
        <v/>
      </c>
      <c r="N116" s="10" t="str">
        <f>IF(Инвентаризация!C116="","",Инвентаризация!O116)</f>
        <v/>
      </c>
      <c r="O116" s="10" t="str">
        <f>IF(Инвентаризация!C116="","",Инвентаризация!P116)</f>
        <v/>
      </c>
      <c r="P116" s="8" t="str">
        <f>IF(Инвентаризация!C116="","",Инвентаризация!Q116)</f>
        <v/>
      </c>
    </row>
    <row r="117" spans="1:16">
      <c r="A117" s="10" t="str">
        <f>IF(Инвентаризация!C117="","",Инвентаризация!B117)</f>
        <v/>
      </c>
      <c r="B117" s="10" t="str">
        <f>IF(Инвентаризация!C117="","",Инвентаризация!C117)</f>
        <v/>
      </c>
      <c r="C117" s="5" t="str">
        <f>IF(Инвентаризация!C117="","",Инвентаризация!D117)</f>
        <v/>
      </c>
      <c r="D117" s="11" t="str">
        <f>IF(Инвентаризация!C117="","",Инвентаризация!E117)</f>
        <v/>
      </c>
      <c r="E117" s="12" t="str">
        <f>IF(Инвентаризация!C117="","",Инвентаризация!F117)</f>
        <v/>
      </c>
      <c r="F117" s="12" t="str">
        <f>IF(Инвентаризация!C117="","",Инвентаризация!G117)</f>
        <v/>
      </c>
      <c r="G117" s="12" t="str">
        <f t="shared" si="5"/>
        <v/>
      </c>
      <c r="H117" s="13" t="str">
        <f t="shared" si="6"/>
        <v/>
      </c>
      <c r="I117" s="12" t="str">
        <f t="shared" si="7"/>
        <v/>
      </c>
      <c r="J117" s="12" t="str">
        <f t="shared" si="8"/>
        <v/>
      </c>
      <c r="K117" s="12" t="str">
        <f t="shared" si="9"/>
        <v/>
      </c>
      <c r="L117" s="10" t="str">
        <f>IF(Инвентаризация!C117="","",Инвентаризация!M117)</f>
        <v/>
      </c>
      <c r="M117" s="10" t="str">
        <f>IF(Инвентаризация!C117="","",Инвентаризация!N117)</f>
        <v/>
      </c>
      <c r="N117" s="10" t="str">
        <f>IF(Инвентаризация!C117="","",Инвентаризация!O117)</f>
        <v/>
      </c>
      <c r="O117" s="10" t="str">
        <f>IF(Инвентаризация!C117="","",Инвентаризация!P117)</f>
        <v/>
      </c>
      <c r="P117" s="8" t="str">
        <f>IF(Инвентаризация!C117="","",Инвентаризация!Q117)</f>
        <v/>
      </c>
    </row>
    <row r="118" spans="1:16">
      <c r="A118" s="10" t="str">
        <f>IF(Инвентаризация!C118="","",Инвентаризация!B118)</f>
        <v/>
      </c>
      <c r="B118" s="10" t="str">
        <f>IF(Инвентаризация!C118="","",Инвентаризация!C118)</f>
        <v/>
      </c>
      <c r="C118" s="5" t="str">
        <f>IF(Инвентаризация!C118="","",Инвентаризация!D118)</f>
        <v/>
      </c>
      <c r="D118" s="11" t="str">
        <f>IF(Инвентаризация!C118="","",Инвентаризация!E118)</f>
        <v/>
      </c>
      <c r="E118" s="12" t="str">
        <f>IF(Инвентаризация!C118="","",Инвентаризация!F118)</f>
        <v/>
      </c>
      <c r="F118" s="12" t="str">
        <f>IF(Инвентаризация!C118="","",Инвентаризация!G118)</f>
        <v/>
      </c>
      <c r="G118" s="12" t="str">
        <f t="shared" si="5"/>
        <v/>
      </c>
      <c r="H118" s="13" t="str">
        <f t="shared" si="6"/>
        <v/>
      </c>
      <c r="I118" s="12" t="str">
        <f t="shared" si="7"/>
        <v/>
      </c>
      <c r="J118" s="12" t="str">
        <f t="shared" si="8"/>
        <v/>
      </c>
      <c r="K118" s="12" t="str">
        <f t="shared" si="9"/>
        <v/>
      </c>
      <c r="L118" s="10" t="str">
        <f>IF(Инвентаризация!C118="","",Инвентаризация!M118)</f>
        <v/>
      </c>
      <c r="M118" s="10" t="str">
        <f>IF(Инвентаризация!C118="","",Инвентаризация!N118)</f>
        <v/>
      </c>
      <c r="N118" s="10" t="str">
        <f>IF(Инвентаризация!C118="","",Инвентаризация!O118)</f>
        <v/>
      </c>
      <c r="O118" s="10" t="str">
        <f>IF(Инвентаризация!C118="","",Инвентаризация!P118)</f>
        <v/>
      </c>
      <c r="P118" s="8" t="str">
        <f>IF(Инвентаризация!C118="","",Инвентаризация!Q118)</f>
        <v/>
      </c>
    </row>
    <row r="119" spans="1:16">
      <c r="A119" s="10" t="str">
        <f>IF(Инвентаризация!C119="","",Инвентаризация!B119)</f>
        <v/>
      </c>
      <c r="B119" s="10" t="str">
        <f>IF(Инвентаризация!C119="","",Инвентаризация!C119)</f>
        <v/>
      </c>
      <c r="C119" s="5" t="str">
        <f>IF(Инвентаризация!C119="","",Инвентаризация!D119)</f>
        <v/>
      </c>
      <c r="D119" s="11" t="str">
        <f>IF(Инвентаризация!C119="","",Инвентаризация!E119)</f>
        <v/>
      </c>
      <c r="E119" s="12" t="str">
        <f>IF(Инвентаризация!C119="","",Инвентаризация!F119)</f>
        <v/>
      </c>
      <c r="F119" s="12" t="str">
        <f>IF(Инвентаризация!C119="","",Инвентаризация!G119)</f>
        <v/>
      </c>
      <c r="G119" s="12" t="str">
        <f t="shared" si="5"/>
        <v/>
      </c>
      <c r="H119" s="13" t="str">
        <f t="shared" si="6"/>
        <v/>
      </c>
      <c r="I119" s="12" t="str">
        <f t="shared" si="7"/>
        <v/>
      </c>
      <c r="J119" s="12" t="str">
        <f t="shared" si="8"/>
        <v/>
      </c>
      <c r="K119" s="12" t="str">
        <f t="shared" si="9"/>
        <v/>
      </c>
      <c r="L119" s="10" t="str">
        <f>IF(Инвентаризация!C119="","",Инвентаризация!M119)</f>
        <v/>
      </c>
      <c r="M119" s="10" t="str">
        <f>IF(Инвентаризация!C119="","",Инвентаризация!N119)</f>
        <v/>
      </c>
      <c r="N119" s="10" t="str">
        <f>IF(Инвентаризация!C119="","",Инвентаризация!O119)</f>
        <v/>
      </c>
      <c r="O119" s="10" t="str">
        <f>IF(Инвентаризация!C119="","",Инвентаризация!P119)</f>
        <v/>
      </c>
      <c r="P119" s="8" t="str">
        <f>IF(Инвентаризация!C119="","",Инвентаризация!Q119)</f>
        <v/>
      </c>
    </row>
    <row r="120" spans="1:16">
      <c r="A120" s="10" t="str">
        <f>IF(Инвентаризация!C120="","",Инвентаризация!B120)</f>
        <v/>
      </c>
      <c r="B120" s="10" t="str">
        <f>IF(Инвентаризация!C120="","",Инвентаризация!C120)</f>
        <v/>
      </c>
      <c r="C120" s="5" t="str">
        <f>IF(Инвентаризация!C120="","",Инвентаризация!D120)</f>
        <v/>
      </c>
      <c r="D120" s="11" t="str">
        <f>IF(Инвентаризация!C120="","",Инвентаризация!E120)</f>
        <v/>
      </c>
      <c r="E120" s="12" t="str">
        <f>IF(Инвентаризация!C120="","",Инвентаризация!F120)</f>
        <v/>
      </c>
      <c r="F120" s="12" t="str">
        <f>IF(Инвентаризация!C120="","",Инвентаризация!G120)</f>
        <v/>
      </c>
      <c r="G120" s="12" t="str">
        <f t="shared" si="5"/>
        <v/>
      </c>
      <c r="H120" s="13" t="str">
        <f t="shared" si="6"/>
        <v/>
      </c>
      <c r="I120" s="12" t="str">
        <f t="shared" si="7"/>
        <v/>
      </c>
      <c r="J120" s="12" t="str">
        <f t="shared" si="8"/>
        <v/>
      </c>
      <c r="K120" s="12" t="str">
        <f t="shared" si="9"/>
        <v/>
      </c>
      <c r="L120" s="10" t="str">
        <f>IF(Инвентаризация!C120="","",Инвентаризация!M120)</f>
        <v/>
      </c>
      <c r="M120" s="10" t="str">
        <f>IF(Инвентаризация!C120="","",Инвентаризация!N120)</f>
        <v/>
      </c>
      <c r="N120" s="10" t="str">
        <f>IF(Инвентаризация!C120="","",Инвентаризация!O120)</f>
        <v/>
      </c>
      <c r="O120" s="10" t="str">
        <f>IF(Инвентаризация!C120="","",Инвентаризация!P120)</f>
        <v/>
      </c>
      <c r="P120" s="8" t="str">
        <f>IF(Инвентаризация!C120="","",Инвентаризация!Q120)</f>
        <v/>
      </c>
    </row>
    <row r="121" spans="1:16">
      <c r="A121" s="10" t="str">
        <f>IF(Инвентаризация!C121="","",Инвентаризация!B121)</f>
        <v/>
      </c>
      <c r="B121" s="10" t="str">
        <f>IF(Инвентаризация!C121="","",Инвентаризация!C121)</f>
        <v/>
      </c>
      <c r="C121" s="5" t="str">
        <f>IF(Инвентаризация!C121="","",Инвентаризация!D121)</f>
        <v/>
      </c>
      <c r="D121" s="11" t="str">
        <f>IF(Инвентаризация!C121="","",Инвентаризация!E121)</f>
        <v/>
      </c>
      <c r="E121" s="12" t="str">
        <f>IF(Инвентаризация!C121="","",Инвентаризация!F121)</f>
        <v/>
      </c>
      <c r="F121" s="12" t="str">
        <f>IF(Инвентаризация!C121="","",Инвентаризация!G121)</f>
        <v/>
      </c>
      <c r="G121" s="12" t="str">
        <f t="shared" si="5"/>
        <v/>
      </c>
      <c r="H121" s="13" t="str">
        <f t="shared" si="6"/>
        <v/>
      </c>
      <c r="I121" s="12" t="str">
        <f t="shared" si="7"/>
        <v/>
      </c>
      <c r="J121" s="12" t="str">
        <f t="shared" si="8"/>
        <v/>
      </c>
      <c r="K121" s="12" t="str">
        <f t="shared" si="9"/>
        <v/>
      </c>
      <c r="L121" s="10" t="str">
        <f>IF(Инвентаризация!C121="","",Инвентаризация!M121)</f>
        <v/>
      </c>
      <c r="M121" s="10" t="str">
        <f>IF(Инвентаризация!C121="","",Инвентаризация!N121)</f>
        <v/>
      </c>
      <c r="N121" s="10" t="str">
        <f>IF(Инвентаризация!C121="","",Инвентаризация!O121)</f>
        <v/>
      </c>
      <c r="O121" s="10" t="str">
        <f>IF(Инвентаризация!C121="","",Инвентаризация!P121)</f>
        <v/>
      </c>
      <c r="P121" s="8" t="str">
        <f>IF(Инвентаризация!C121="","",Инвентаризация!Q121)</f>
        <v/>
      </c>
    </row>
    <row r="122" spans="1:16">
      <c r="A122" s="10" t="str">
        <f>IF(Инвентаризация!C122="","",Инвентаризация!B122)</f>
        <v/>
      </c>
      <c r="B122" s="10" t="str">
        <f>IF(Инвентаризация!C122="","",Инвентаризация!C122)</f>
        <v/>
      </c>
      <c r="C122" s="5" t="str">
        <f>IF(Инвентаризация!C122="","",Инвентаризация!D122)</f>
        <v/>
      </c>
      <c r="D122" s="11" t="str">
        <f>IF(Инвентаризация!C122="","",Инвентаризация!E122)</f>
        <v/>
      </c>
      <c r="E122" s="12" t="str">
        <f>IF(Инвентаризация!C122="","",Инвентаризация!F122)</f>
        <v/>
      </c>
      <c r="F122" s="12" t="str">
        <f>IF(Инвентаризация!C122="","",Инвентаризация!G122)</f>
        <v/>
      </c>
      <c r="G122" s="12" t="str">
        <f t="shared" si="5"/>
        <v/>
      </c>
      <c r="H122" s="13" t="str">
        <f t="shared" si="6"/>
        <v/>
      </c>
      <c r="I122" s="12" t="str">
        <f t="shared" si="7"/>
        <v/>
      </c>
      <c r="J122" s="12" t="str">
        <f t="shared" si="8"/>
        <v/>
      </c>
      <c r="K122" s="12" t="str">
        <f t="shared" si="9"/>
        <v/>
      </c>
      <c r="L122" s="10" t="str">
        <f>IF(Инвентаризация!C122="","",Инвентаризация!M122)</f>
        <v/>
      </c>
      <c r="M122" s="10" t="str">
        <f>IF(Инвентаризация!C122="","",Инвентаризация!N122)</f>
        <v/>
      </c>
      <c r="N122" s="10" t="str">
        <f>IF(Инвентаризация!C122="","",Инвентаризация!O122)</f>
        <v/>
      </c>
      <c r="O122" s="10" t="str">
        <f>IF(Инвентаризация!C122="","",Инвентаризация!P122)</f>
        <v/>
      </c>
      <c r="P122" s="8" t="str">
        <f>IF(Инвентаризация!C122="","",Инвентаризация!Q122)</f>
        <v/>
      </c>
    </row>
    <row r="123" spans="1:16">
      <c r="A123" s="10" t="str">
        <f>IF(Инвентаризация!C123="","",Инвентаризация!B123)</f>
        <v/>
      </c>
      <c r="B123" s="10" t="str">
        <f>IF(Инвентаризация!C123="","",Инвентаризация!C123)</f>
        <v/>
      </c>
      <c r="C123" s="5" t="str">
        <f>IF(Инвентаризация!C123="","",Инвентаризация!D123)</f>
        <v/>
      </c>
      <c r="D123" s="11" t="str">
        <f>IF(Инвентаризация!C123="","",Инвентаризация!E123)</f>
        <v/>
      </c>
      <c r="E123" s="12" t="str">
        <f>IF(Инвентаризация!C123="","",Инвентаризация!F123)</f>
        <v/>
      </c>
      <c r="F123" s="12" t="str">
        <f>IF(Инвентаризация!C123="","",Инвентаризация!G123)</f>
        <v/>
      </c>
      <c r="G123" s="12" t="str">
        <f t="shared" si="5"/>
        <v/>
      </c>
      <c r="H123" s="13" t="str">
        <f t="shared" si="6"/>
        <v/>
      </c>
      <c r="I123" s="12" t="str">
        <f t="shared" si="7"/>
        <v/>
      </c>
      <c r="J123" s="12" t="str">
        <f t="shared" si="8"/>
        <v/>
      </c>
      <c r="K123" s="12" t="str">
        <f t="shared" si="9"/>
        <v/>
      </c>
      <c r="L123" s="10" t="str">
        <f>IF(Инвентаризация!C123="","",Инвентаризация!M123)</f>
        <v/>
      </c>
      <c r="M123" s="10" t="str">
        <f>IF(Инвентаризация!C123="","",Инвентаризация!N123)</f>
        <v/>
      </c>
      <c r="N123" s="10" t="str">
        <f>IF(Инвентаризация!C123="","",Инвентаризация!O123)</f>
        <v/>
      </c>
      <c r="O123" s="10" t="str">
        <f>IF(Инвентаризация!C123="","",Инвентаризация!P123)</f>
        <v/>
      </c>
      <c r="P123" s="8" t="str">
        <f>IF(Инвентаризация!C123="","",Инвентаризация!Q123)</f>
        <v/>
      </c>
    </row>
    <row r="124" spans="1:16">
      <c r="A124" s="10" t="str">
        <f>IF(Инвентаризация!C124="","",Инвентаризация!B124)</f>
        <v/>
      </c>
      <c r="B124" s="10" t="str">
        <f>IF(Инвентаризация!C124="","",Инвентаризация!C124)</f>
        <v/>
      </c>
      <c r="C124" s="5" t="str">
        <f>IF(Инвентаризация!C124="","",Инвентаризация!D124)</f>
        <v/>
      </c>
      <c r="D124" s="11" t="str">
        <f>IF(Инвентаризация!C124="","",Инвентаризация!E124)</f>
        <v/>
      </c>
      <c r="E124" s="12" t="str">
        <f>IF(Инвентаризация!C124="","",Инвентаризация!F124)</f>
        <v/>
      </c>
      <c r="F124" s="12" t="str">
        <f>IF(Инвентаризация!C124="","",Инвентаризация!G124)</f>
        <v/>
      </c>
      <c r="G124" s="12" t="str">
        <f t="shared" si="5"/>
        <v/>
      </c>
      <c r="H124" s="13" t="str">
        <f t="shared" si="6"/>
        <v/>
      </c>
      <c r="I124" s="12" t="str">
        <f t="shared" si="7"/>
        <v/>
      </c>
      <c r="J124" s="12" t="str">
        <f t="shared" si="8"/>
        <v/>
      </c>
      <c r="K124" s="12" t="str">
        <f t="shared" si="9"/>
        <v/>
      </c>
      <c r="L124" s="10" t="str">
        <f>IF(Инвентаризация!C124="","",Инвентаризация!M124)</f>
        <v/>
      </c>
      <c r="M124" s="10" t="str">
        <f>IF(Инвентаризация!C124="","",Инвентаризация!N124)</f>
        <v/>
      </c>
      <c r="N124" s="10" t="str">
        <f>IF(Инвентаризация!C124="","",Инвентаризация!O124)</f>
        <v/>
      </c>
      <c r="O124" s="10" t="str">
        <f>IF(Инвентаризация!C124="","",Инвентаризация!P124)</f>
        <v/>
      </c>
      <c r="P124" s="8" t="str">
        <f>IF(Инвентаризация!C124="","",Инвентаризация!Q124)</f>
        <v/>
      </c>
    </row>
    <row r="125" spans="1:16">
      <c r="A125" s="10" t="str">
        <f>IF(Инвентаризация!C125="","",Инвентаризация!B125)</f>
        <v/>
      </c>
      <c r="B125" s="10" t="str">
        <f>IF(Инвентаризация!C125="","",Инвентаризация!C125)</f>
        <v/>
      </c>
      <c r="C125" s="5" t="str">
        <f>IF(Инвентаризация!C125="","",Инвентаризация!D125)</f>
        <v/>
      </c>
      <c r="D125" s="11" t="str">
        <f>IF(Инвентаризация!C125="","",Инвентаризация!E125)</f>
        <v/>
      </c>
      <c r="E125" s="12" t="str">
        <f>IF(Инвентаризация!C125="","",Инвентаризация!F125)</f>
        <v/>
      </c>
      <c r="F125" s="12" t="str">
        <f>IF(Инвентаризация!C125="","",Инвентаризация!G125)</f>
        <v/>
      </c>
      <c r="G125" s="12" t="str">
        <f t="shared" si="5"/>
        <v/>
      </c>
      <c r="H125" s="13" t="str">
        <f t="shared" si="6"/>
        <v/>
      </c>
      <c r="I125" s="12" t="str">
        <f t="shared" si="7"/>
        <v/>
      </c>
      <c r="J125" s="12" t="str">
        <f t="shared" si="8"/>
        <v/>
      </c>
      <c r="K125" s="12" t="str">
        <f t="shared" si="9"/>
        <v/>
      </c>
      <c r="L125" s="10" t="str">
        <f>IF(Инвентаризация!C125="","",Инвентаризация!M125)</f>
        <v/>
      </c>
      <c r="M125" s="10" t="str">
        <f>IF(Инвентаризация!C125="","",Инвентаризация!N125)</f>
        <v/>
      </c>
      <c r="N125" s="10" t="str">
        <f>IF(Инвентаризация!C125="","",Инвентаризация!O125)</f>
        <v/>
      </c>
      <c r="O125" s="10" t="str">
        <f>IF(Инвентаризация!C125="","",Инвентаризация!P125)</f>
        <v/>
      </c>
      <c r="P125" s="8" t="str">
        <f>IF(Инвентаризация!C125="","",Инвентаризация!Q125)</f>
        <v/>
      </c>
    </row>
    <row r="126" spans="1:16">
      <c r="A126" s="10" t="str">
        <f>IF(Инвентаризация!C126="","",Инвентаризация!B126)</f>
        <v/>
      </c>
      <c r="B126" s="10" t="str">
        <f>IF(Инвентаризация!C126="","",Инвентаризация!C126)</f>
        <v/>
      </c>
      <c r="C126" s="5" t="str">
        <f>IF(Инвентаризация!C126="","",Инвентаризация!D126)</f>
        <v/>
      </c>
      <c r="D126" s="11" t="str">
        <f>IF(Инвентаризация!C126="","",Инвентаризация!E126)</f>
        <v/>
      </c>
      <c r="E126" s="12" t="str">
        <f>IF(Инвентаризация!C126="","",Инвентаризация!F126)</f>
        <v/>
      </c>
      <c r="F126" s="12" t="str">
        <f>IF(Инвентаризация!C126="","",Инвентаризация!G126)</f>
        <v/>
      </c>
      <c r="G126" s="12" t="str">
        <f t="shared" si="5"/>
        <v/>
      </c>
      <c r="H126" s="13" t="str">
        <f t="shared" si="6"/>
        <v/>
      </c>
      <c r="I126" s="12" t="str">
        <f t="shared" si="7"/>
        <v/>
      </c>
      <c r="J126" s="12" t="str">
        <f t="shared" si="8"/>
        <v/>
      </c>
      <c r="K126" s="12" t="str">
        <f t="shared" si="9"/>
        <v/>
      </c>
      <c r="L126" s="10" t="str">
        <f>IF(Инвентаризация!C126="","",Инвентаризация!M126)</f>
        <v/>
      </c>
      <c r="M126" s="10" t="str">
        <f>IF(Инвентаризация!C126="","",Инвентаризация!N126)</f>
        <v/>
      </c>
      <c r="N126" s="10" t="str">
        <f>IF(Инвентаризация!C126="","",Инвентаризация!O126)</f>
        <v/>
      </c>
      <c r="O126" s="10" t="str">
        <f>IF(Инвентаризация!C126="","",Инвентаризация!P126)</f>
        <v/>
      </c>
      <c r="P126" s="8" t="str">
        <f>IF(Инвентаризация!C126="","",Инвентаризация!Q126)</f>
        <v/>
      </c>
    </row>
    <row r="127" spans="1:16">
      <c r="A127" s="10" t="str">
        <f>IF(Инвентаризация!C127="","",Инвентаризация!B127)</f>
        <v/>
      </c>
      <c r="B127" s="10" t="str">
        <f>IF(Инвентаризация!C127="","",Инвентаризация!C127)</f>
        <v/>
      </c>
      <c r="C127" s="5" t="str">
        <f>IF(Инвентаризация!C127="","",Инвентаризация!D127)</f>
        <v/>
      </c>
      <c r="D127" s="11" t="str">
        <f>IF(Инвентаризация!C127="","",Инвентаризация!E127)</f>
        <v/>
      </c>
      <c r="E127" s="12" t="str">
        <f>IF(Инвентаризация!C127="","",Инвентаризация!F127)</f>
        <v/>
      </c>
      <c r="F127" s="12" t="str">
        <f>IF(Инвентаризация!C127="","",Инвентаризация!G127)</f>
        <v/>
      </c>
      <c r="G127" s="12" t="str">
        <f t="shared" si="5"/>
        <v/>
      </c>
      <c r="H127" s="13" t="str">
        <f t="shared" si="6"/>
        <v/>
      </c>
      <c r="I127" s="12" t="str">
        <f t="shared" si="7"/>
        <v/>
      </c>
      <c r="J127" s="12" t="str">
        <f t="shared" si="8"/>
        <v/>
      </c>
      <c r="K127" s="12" t="str">
        <f t="shared" si="9"/>
        <v/>
      </c>
      <c r="L127" s="10" t="str">
        <f>IF(Инвентаризация!C127="","",Инвентаризация!M127)</f>
        <v/>
      </c>
      <c r="M127" s="10" t="str">
        <f>IF(Инвентаризация!C127="","",Инвентаризация!N127)</f>
        <v/>
      </c>
      <c r="N127" s="10" t="str">
        <f>IF(Инвентаризация!C127="","",Инвентаризация!O127)</f>
        <v/>
      </c>
      <c r="O127" s="10" t="str">
        <f>IF(Инвентаризация!C127="","",Инвентаризация!P127)</f>
        <v/>
      </c>
      <c r="P127" s="8" t="str">
        <f>IF(Инвентаризация!C127="","",Инвентаризация!Q127)</f>
        <v/>
      </c>
    </row>
    <row r="128" spans="1:16">
      <c r="A128" s="10" t="str">
        <f>IF(Инвентаризация!C128="","",Инвентаризация!B128)</f>
        <v/>
      </c>
      <c r="B128" s="10" t="str">
        <f>IF(Инвентаризация!C128="","",Инвентаризация!C128)</f>
        <v/>
      </c>
      <c r="C128" s="5" t="str">
        <f>IF(Инвентаризация!C128="","",Инвентаризация!D128)</f>
        <v/>
      </c>
      <c r="D128" s="11" t="str">
        <f>IF(Инвентаризация!C128="","",Инвентаризация!E128)</f>
        <v/>
      </c>
      <c r="E128" s="12" t="str">
        <f>IF(Инвентаризация!C128="","",Инвентаризация!F128)</f>
        <v/>
      </c>
      <c r="F128" s="12" t="str">
        <f>IF(Инвентаризация!C128="","",Инвентаризация!G128)</f>
        <v/>
      </c>
      <c r="G128" s="12" t="str">
        <f t="shared" si="5"/>
        <v/>
      </c>
      <c r="H128" s="13" t="str">
        <f t="shared" si="6"/>
        <v/>
      </c>
      <c r="I128" s="12" t="str">
        <f t="shared" si="7"/>
        <v/>
      </c>
      <c r="J128" s="12" t="str">
        <f t="shared" si="8"/>
        <v/>
      </c>
      <c r="K128" s="12" t="str">
        <f t="shared" si="9"/>
        <v/>
      </c>
      <c r="L128" s="10" t="str">
        <f>IF(Инвентаризация!C128="","",Инвентаризация!M128)</f>
        <v/>
      </c>
      <c r="M128" s="10" t="str">
        <f>IF(Инвентаризация!C128="","",Инвентаризация!N128)</f>
        <v/>
      </c>
      <c r="N128" s="10" t="str">
        <f>IF(Инвентаризация!C128="","",Инвентаризация!O128)</f>
        <v/>
      </c>
      <c r="O128" s="10" t="str">
        <f>IF(Инвентаризация!C128="","",Инвентаризация!P128)</f>
        <v/>
      </c>
      <c r="P128" s="8" t="str">
        <f>IF(Инвентаризация!C128="","",Инвентаризация!Q128)</f>
        <v/>
      </c>
    </row>
    <row r="129" spans="1:16">
      <c r="A129" s="10" t="str">
        <f>IF(Инвентаризация!C129="","",Инвентаризация!B129)</f>
        <v/>
      </c>
      <c r="B129" s="10" t="str">
        <f>IF(Инвентаризация!C129="","",Инвентаризация!C129)</f>
        <v/>
      </c>
      <c r="C129" s="5" t="str">
        <f>IF(Инвентаризация!C129="","",Инвентаризация!D129)</f>
        <v/>
      </c>
      <c r="D129" s="11" t="str">
        <f>IF(Инвентаризация!C129="","",Инвентаризация!E129)</f>
        <v/>
      </c>
      <c r="E129" s="12" t="str">
        <f>IF(Инвентаризация!C129="","",Инвентаризация!F129)</f>
        <v/>
      </c>
      <c r="F129" s="12" t="str">
        <f>IF(Инвентаризация!C129="","",Инвентаризация!G129)</f>
        <v/>
      </c>
      <c r="G129" s="12" t="str">
        <f t="shared" si="5"/>
        <v/>
      </c>
      <c r="H129" s="13" t="str">
        <f t="shared" si="6"/>
        <v/>
      </c>
      <c r="I129" s="12" t="str">
        <f t="shared" si="7"/>
        <v/>
      </c>
      <c r="J129" s="12" t="str">
        <f t="shared" si="8"/>
        <v/>
      </c>
      <c r="K129" s="12" t="str">
        <f t="shared" si="9"/>
        <v/>
      </c>
      <c r="L129" s="10" t="str">
        <f>IF(Инвентаризация!C129="","",Инвентаризация!M129)</f>
        <v/>
      </c>
      <c r="M129" s="10" t="str">
        <f>IF(Инвентаризация!C129="","",Инвентаризация!N129)</f>
        <v/>
      </c>
      <c r="N129" s="10" t="str">
        <f>IF(Инвентаризация!C129="","",Инвентаризация!O129)</f>
        <v/>
      </c>
      <c r="O129" s="10" t="str">
        <f>IF(Инвентаризация!C129="","",Инвентаризация!P129)</f>
        <v/>
      </c>
      <c r="P129" s="8" t="str">
        <f>IF(Инвентаризация!C129="","",Инвентаризация!Q129)</f>
        <v/>
      </c>
    </row>
    <row r="130" spans="1:16">
      <c r="A130" s="10" t="str">
        <f>IF(Инвентаризация!C130="","",Инвентаризация!B130)</f>
        <v/>
      </c>
      <c r="B130" s="10" t="str">
        <f>IF(Инвентаризация!C130="","",Инвентаризация!C130)</f>
        <v/>
      </c>
      <c r="C130" s="5" t="str">
        <f>IF(Инвентаризация!C130="","",Инвентаризация!D130)</f>
        <v/>
      </c>
      <c r="D130" s="11" t="str">
        <f>IF(Инвентаризация!C130="","",Инвентаризация!E130)</f>
        <v/>
      </c>
      <c r="E130" s="12" t="str">
        <f>IF(Инвентаризация!C130="","",Инвентаризация!F130)</f>
        <v/>
      </c>
      <c r="F130" s="12" t="str">
        <f>IF(Инвентаризация!C130="","",Инвентаризация!G130)</f>
        <v/>
      </c>
      <c r="G130" s="12" t="str">
        <f t="shared" ref="G130:G193" si="10">IF(OR(E130="",F130=""),"",F130-E130)</f>
        <v/>
      </c>
      <c r="H130" s="13" t="str">
        <f t="shared" ref="H130:H193" si="11">IFERROR(G130/F130,"")</f>
        <v/>
      </c>
      <c r="I130" s="12" t="str">
        <f t="shared" ref="I130:I193" si="12">IF(OR(D130="",E130=""),"",D130*E130)</f>
        <v/>
      </c>
      <c r="J130" s="12" t="str">
        <f t="shared" ref="J130:J193" si="13">IF(OR(D130="",F130=""),"",D130*F130)</f>
        <v/>
      </c>
      <c r="K130" s="12" t="str">
        <f t="shared" ref="K130:K193" si="14">IF(OR(D130="",G130=""),"",D130*G130)</f>
        <v/>
      </c>
      <c r="L130" s="10" t="str">
        <f>IF(Инвентаризация!C130="","",Инвентаризация!M130)</f>
        <v/>
      </c>
      <c r="M130" s="10" t="str">
        <f>IF(Инвентаризация!C130="","",Инвентаризация!N130)</f>
        <v/>
      </c>
      <c r="N130" s="10" t="str">
        <f>IF(Инвентаризация!C130="","",Инвентаризация!O130)</f>
        <v/>
      </c>
      <c r="O130" s="10" t="str">
        <f>IF(Инвентаризация!C130="","",Инвентаризация!P130)</f>
        <v/>
      </c>
      <c r="P130" s="8" t="str">
        <f>IF(Инвентаризация!C130="","",Инвентаризация!Q130)</f>
        <v/>
      </c>
    </row>
    <row r="131" spans="1:16">
      <c r="A131" s="10" t="str">
        <f>IF(Инвентаризация!C131="","",Инвентаризация!B131)</f>
        <v/>
      </c>
      <c r="B131" s="10" t="str">
        <f>IF(Инвентаризация!C131="","",Инвентаризация!C131)</f>
        <v/>
      </c>
      <c r="C131" s="5" t="str">
        <f>IF(Инвентаризация!C131="","",Инвентаризация!D131)</f>
        <v/>
      </c>
      <c r="D131" s="11" t="str">
        <f>IF(Инвентаризация!C131="","",Инвентаризация!E131)</f>
        <v/>
      </c>
      <c r="E131" s="12" t="str">
        <f>IF(Инвентаризация!C131="","",Инвентаризация!F131)</f>
        <v/>
      </c>
      <c r="F131" s="12" t="str">
        <f>IF(Инвентаризация!C131="","",Инвентаризация!G131)</f>
        <v/>
      </c>
      <c r="G131" s="12" t="str">
        <f t="shared" si="10"/>
        <v/>
      </c>
      <c r="H131" s="13" t="str">
        <f t="shared" si="11"/>
        <v/>
      </c>
      <c r="I131" s="12" t="str">
        <f t="shared" si="12"/>
        <v/>
      </c>
      <c r="J131" s="12" t="str">
        <f t="shared" si="13"/>
        <v/>
      </c>
      <c r="K131" s="12" t="str">
        <f t="shared" si="14"/>
        <v/>
      </c>
      <c r="L131" s="10" t="str">
        <f>IF(Инвентаризация!C131="","",Инвентаризация!M131)</f>
        <v/>
      </c>
      <c r="M131" s="10" t="str">
        <f>IF(Инвентаризация!C131="","",Инвентаризация!N131)</f>
        <v/>
      </c>
      <c r="N131" s="10" t="str">
        <f>IF(Инвентаризация!C131="","",Инвентаризация!O131)</f>
        <v/>
      </c>
      <c r="O131" s="10" t="str">
        <f>IF(Инвентаризация!C131="","",Инвентаризация!P131)</f>
        <v/>
      </c>
      <c r="P131" s="8" t="str">
        <f>IF(Инвентаризация!C131="","",Инвентаризация!Q131)</f>
        <v/>
      </c>
    </row>
    <row r="132" spans="1:16">
      <c r="A132" s="10" t="str">
        <f>IF(Инвентаризация!C132="","",Инвентаризация!B132)</f>
        <v/>
      </c>
      <c r="B132" s="10" t="str">
        <f>IF(Инвентаризация!C132="","",Инвентаризация!C132)</f>
        <v/>
      </c>
      <c r="C132" s="5" t="str">
        <f>IF(Инвентаризация!C132="","",Инвентаризация!D132)</f>
        <v/>
      </c>
      <c r="D132" s="11" t="str">
        <f>IF(Инвентаризация!C132="","",Инвентаризация!E132)</f>
        <v/>
      </c>
      <c r="E132" s="12" t="str">
        <f>IF(Инвентаризация!C132="","",Инвентаризация!F132)</f>
        <v/>
      </c>
      <c r="F132" s="12" t="str">
        <f>IF(Инвентаризация!C132="","",Инвентаризация!G132)</f>
        <v/>
      </c>
      <c r="G132" s="12" t="str">
        <f t="shared" si="10"/>
        <v/>
      </c>
      <c r="H132" s="13" t="str">
        <f t="shared" si="11"/>
        <v/>
      </c>
      <c r="I132" s="12" t="str">
        <f t="shared" si="12"/>
        <v/>
      </c>
      <c r="J132" s="12" t="str">
        <f t="shared" si="13"/>
        <v/>
      </c>
      <c r="K132" s="12" t="str">
        <f t="shared" si="14"/>
        <v/>
      </c>
      <c r="L132" s="10" t="str">
        <f>IF(Инвентаризация!C132="","",Инвентаризация!M132)</f>
        <v/>
      </c>
      <c r="M132" s="10" t="str">
        <f>IF(Инвентаризация!C132="","",Инвентаризация!N132)</f>
        <v/>
      </c>
      <c r="N132" s="10" t="str">
        <f>IF(Инвентаризация!C132="","",Инвентаризация!O132)</f>
        <v/>
      </c>
      <c r="O132" s="10" t="str">
        <f>IF(Инвентаризация!C132="","",Инвентаризация!P132)</f>
        <v/>
      </c>
      <c r="P132" s="8" t="str">
        <f>IF(Инвентаризация!C132="","",Инвентаризация!Q132)</f>
        <v/>
      </c>
    </row>
    <row r="133" spans="1:16">
      <c r="A133" s="10" t="str">
        <f>IF(Инвентаризация!C133="","",Инвентаризация!B133)</f>
        <v/>
      </c>
      <c r="B133" s="10" t="str">
        <f>IF(Инвентаризация!C133="","",Инвентаризация!C133)</f>
        <v/>
      </c>
      <c r="C133" s="5" t="str">
        <f>IF(Инвентаризация!C133="","",Инвентаризация!D133)</f>
        <v/>
      </c>
      <c r="D133" s="11" t="str">
        <f>IF(Инвентаризация!C133="","",Инвентаризация!E133)</f>
        <v/>
      </c>
      <c r="E133" s="12" t="str">
        <f>IF(Инвентаризация!C133="","",Инвентаризация!F133)</f>
        <v/>
      </c>
      <c r="F133" s="12" t="str">
        <f>IF(Инвентаризация!C133="","",Инвентаризация!G133)</f>
        <v/>
      </c>
      <c r="G133" s="12" t="str">
        <f t="shared" si="10"/>
        <v/>
      </c>
      <c r="H133" s="13" t="str">
        <f t="shared" si="11"/>
        <v/>
      </c>
      <c r="I133" s="12" t="str">
        <f t="shared" si="12"/>
        <v/>
      </c>
      <c r="J133" s="12" t="str">
        <f t="shared" si="13"/>
        <v/>
      </c>
      <c r="K133" s="12" t="str">
        <f t="shared" si="14"/>
        <v/>
      </c>
      <c r="L133" s="10" t="str">
        <f>IF(Инвентаризация!C133="","",Инвентаризация!M133)</f>
        <v/>
      </c>
      <c r="M133" s="10" t="str">
        <f>IF(Инвентаризация!C133="","",Инвентаризация!N133)</f>
        <v/>
      </c>
      <c r="N133" s="10" t="str">
        <f>IF(Инвентаризация!C133="","",Инвентаризация!O133)</f>
        <v/>
      </c>
      <c r="O133" s="10" t="str">
        <f>IF(Инвентаризация!C133="","",Инвентаризация!P133)</f>
        <v/>
      </c>
      <c r="P133" s="8" t="str">
        <f>IF(Инвентаризация!C133="","",Инвентаризация!Q133)</f>
        <v/>
      </c>
    </row>
    <row r="134" spans="1:16">
      <c r="A134" s="10" t="str">
        <f>IF(Инвентаризация!C134="","",Инвентаризация!B134)</f>
        <v/>
      </c>
      <c r="B134" s="10" t="str">
        <f>IF(Инвентаризация!C134="","",Инвентаризация!C134)</f>
        <v/>
      </c>
      <c r="C134" s="5" t="str">
        <f>IF(Инвентаризация!C134="","",Инвентаризация!D134)</f>
        <v/>
      </c>
      <c r="D134" s="11" t="str">
        <f>IF(Инвентаризация!C134="","",Инвентаризация!E134)</f>
        <v/>
      </c>
      <c r="E134" s="12" t="str">
        <f>IF(Инвентаризация!C134="","",Инвентаризация!F134)</f>
        <v/>
      </c>
      <c r="F134" s="12" t="str">
        <f>IF(Инвентаризация!C134="","",Инвентаризация!G134)</f>
        <v/>
      </c>
      <c r="G134" s="12" t="str">
        <f t="shared" si="10"/>
        <v/>
      </c>
      <c r="H134" s="13" t="str">
        <f t="shared" si="11"/>
        <v/>
      </c>
      <c r="I134" s="12" t="str">
        <f t="shared" si="12"/>
        <v/>
      </c>
      <c r="J134" s="12" t="str">
        <f t="shared" si="13"/>
        <v/>
      </c>
      <c r="K134" s="12" t="str">
        <f t="shared" si="14"/>
        <v/>
      </c>
      <c r="L134" s="10" t="str">
        <f>IF(Инвентаризация!C134="","",Инвентаризация!M134)</f>
        <v/>
      </c>
      <c r="M134" s="10" t="str">
        <f>IF(Инвентаризация!C134="","",Инвентаризация!N134)</f>
        <v/>
      </c>
      <c r="N134" s="10" t="str">
        <f>IF(Инвентаризация!C134="","",Инвентаризация!O134)</f>
        <v/>
      </c>
      <c r="O134" s="10" t="str">
        <f>IF(Инвентаризация!C134="","",Инвентаризация!P134)</f>
        <v/>
      </c>
      <c r="P134" s="8" t="str">
        <f>IF(Инвентаризация!C134="","",Инвентаризация!Q134)</f>
        <v/>
      </c>
    </row>
    <row r="135" spans="1:16">
      <c r="A135" s="10" t="str">
        <f>IF(Инвентаризация!C135="","",Инвентаризация!B135)</f>
        <v/>
      </c>
      <c r="B135" s="10" t="str">
        <f>IF(Инвентаризация!C135="","",Инвентаризация!C135)</f>
        <v/>
      </c>
      <c r="C135" s="5" t="str">
        <f>IF(Инвентаризация!C135="","",Инвентаризация!D135)</f>
        <v/>
      </c>
      <c r="D135" s="11" t="str">
        <f>IF(Инвентаризация!C135="","",Инвентаризация!E135)</f>
        <v/>
      </c>
      <c r="E135" s="12" t="str">
        <f>IF(Инвентаризация!C135="","",Инвентаризация!F135)</f>
        <v/>
      </c>
      <c r="F135" s="12" t="str">
        <f>IF(Инвентаризация!C135="","",Инвентаризация!G135)</f>
        <v/>
      </c>
      <c r="G135" s="12" t="str">
        <f t="shared" si="10"/>
        <v/>
      </c>
      <c r="H135" s="13" t="str">
        <f t="shared" si="11"/>
        <v/>
      </c>
      <c r="I135" s="12" t="str">
        <f t="shared" si="12"/>
        <v/>
      </c>
      <c r="J135" s="12" t="str">
        <f t="shared" si="13"/>
        <v/>
      </c>
      <c r="K135" s="12" t="str">
        <f t="shared" si="14"/>
        <v/>
      </c>
      <c r="L135" s="10" t="str">
        <f>IF(Инвентаризация!C135="","",Инвентаризация!M135)</f>
        <v/>
      </c>
      <c r="M135" s="10" t="str">
        <f>IF(Инвентаризация!C135="","",Инвентаризация!N135)</f>
        <v/>
      </c>
      <c r="N135" s="10" t="str">
        <f>IF(Инвентаризация!C135="","",Инвентаризация!O135)</f>
        <v/>
      </c>
      <c r="O135" s="10" t="str">
        <f>IF(Инвентаризация!C135="","",Инвентаризация!P135)</f>
        <v/>
      </c>
      <c r="P135" s="8" t="str">
        <f>IF(Инвентаризация!C135="","",Инвентаризация!Q135)</f>
        <v/>
      </c>
    </row>
    <row r="136" spans="1:16">
      <c r="A136" s="10" t="str">
        <f>IF(Инвентаризация!C136="","",Инвентаризация!B136)</f>
        <v/>
      </c>
      <c r="B136" s="10" t="str">
        <f>IF(Инвентаризация!C136="","",Инвентаризация!C136)</f>
        <v/>
      </c>
      <c r="C136" s="5" t="str">
        <f>IF(Инвентаризация!C136="","",Инвентаризация!D136)</f>
        <v/>
      </c>
      <c r="D136" s="11" t="str">
        <f>IF(Инвентаризация!C136="","",Инвентаризация!E136)</f>
        <v/>
      </c>
      <c r="E136" s="12" t="str">
        <f>IF(Инвентаризация!C136="","",Инвентаризация!F136)</f>
        <v/>
      </c>
      <c r="F136" s="12" t="str">
        <f>IF(Инвентаризация!C136="","",Инвентаризация!G136)</f>
        <v/>
      </c>
      <c r="G136" s="12" t="str">
        <f t="shared" si="10"/>
        <v/>
      </c>
      <c r="H136" s="13" t="str">
        <f t="shared" si="11"/>
        <v/>
      </c>
      <c r="I136" s="12" t="str">
        <f t="shared" si="12"/>
        <v/>
      </c>
      <c r="J136" s="12" t="str">
        <f t="shared" si="13"/>
        <v/>
      </c>
      <c r="K136" s="12" t="str">
        <f t="shared" si="14"/>
        <v/>
      </c>
      <c r="L136" s="10" t="str">
        <f>IF(Инвентаризация!C136="","",Инвентаризация!M136)</f>
        <v/>
      </c>
      <c r="M136" s="10" t="str">
        <f>IF(Инвентаризация!C136="","",Инвентаризация!N136)</f>
        <v/>
      </c>
      <c r="N136" s="10" t="str">
        <f>IF(Инвентаризация!C136="","",Инвентаризация!O136)</f>
        <v/>
      </c>
      <c r="O136" s="10" t="str">
        <f>IF(Инвентаризация!C136="","",Инвентаризация!P136)</f>
        <v/>
      </c>
      <c r="P136" s="8" t="str">
        <f>IF(Инвентаризация!C136="","",Инвентаризация!Q136)</f>
        <v/>
      </c>
    </row>
    <row r="137" spans="1:16">
      <c r="A137" s="10" t="str">
        <f>IF(Инвентаризация!C137="","",Инвентаризация!B137)</f>
        <v/>
      </c>
      <c r="B137" s="10" t="str">
        <f>IF(Инвентаризация!C137="","",Инвентаризация!C137)</f>
        <v/>
      </c>
      <c r="C137" s="5" t="str">
        <f>IF(Инвентаризация!C137="","",Инвентаризация!D137)</f>
        <v/>
      </c>
      <c r="D137" s="11" t="str">
        <f>IF(Инвентаризация!C137="","",Инвентаризация!E137)</f>
        <v/>
      </c>
      <c r="E137" s="12" t="str">
        <f>IF(Инвентаризация!C137="","",Инвентаризация!F137)</f>
        <v/>
      </c>
      <c r="F137" s="12" t="str">
        <f>IF(Инвентаризация!C137="","",Инвентаризация!G137)</f>
        <v/>
      </c>
      <c r="G137" s="12" t="str">
        <f t="shared" si="10"/>
        <v/>
      </c>
      <c r="H137" s="13" t="str">
        <f t="shared" si="11"/>
        <v/>
      </c>
      <c r="I137" s="12" t="str">
        <f t="shared" si="12"/>
        <v/>
      </c>
      <c r="J137" s="12" t="str">
        <f t="shared" si="13"/>
        <v/>
      </c>
      <c r="K137" s="12" t="str">
        <f t="shared" si="14"/>
        <v/>
      </c>
      <c r="L137" s="10" t="str">
        <f>IF(Инвентаризация!C137="","",Инвентаризация!M137)</f>
        <v/>
      </c>
      <c r="M137" s="10" t="str">
        <f>IF(Инвентаризация!C137="","",Инвентаризация!N137)</f>
        <v/>
      </c>
      <c r="N137" s="10" t="str">
        <f>IF(Инвентаризация!C137="","",Инвентаризация!O137)</f>
        <v/>
      </c>
      <c r="O137" s="10" t="str">
        <f>IF(Инвентаризация!C137="","",Инвентаризация!P137)</f>
        <v/>
      </c>
      <c r="P137" s="8" t="str">
        <f>IF(Инвентаризация!C137="","",Инвентаризация!Q137)</f>
        <v/>
      </c>
    </row>
    <row r="138" spans="1:16">
      <c r="A138" s="10" t="str">
        <f>IF(Инвентаризация!C138="","",Инвентаризация!B138)</f>
        <v/>
      </c>
      <c r="B138" s="10" t="str">
        <f>IF(Инвентаризация!C138="","",Инвентаризация!C138)</f>
        <v/>
      </c>
      <c r="C138" s="5" t="str">
        <f>IF(Инвентаризация!C138="","",Инвентаризация!D138)</f>
        <v/>
      </c>
      <c r="D138" s="11" t="str">
        <f>IF(Инвентаризация!C138="","",Инвентаризация!E138)</f>
        <v/>
      </c>
      <c r="E138" s="12" t="str">
        <f>IF(Инвентаризация!C138="","",Инвентаризация!F138)</f>
        <v/>
      </c>
      <c r="F138" s="12" t="str">
        <f>IF(Инвентаризация!C138="","",Инвентаризация!G138)</f>
        <v/>
      </c>
      <c r="G138" s="12" t="str">
        <f t="shared" si="10"/>
        <v/>
      </c>
      <c r="H138" s="13" t="str">
        <f t="shared" si="11"/>
        <v/>
      </c>
      <c r="I138" s="12" t="str">
        <f t="shared" si="12"/>
        <v/>
      </c>
      <c r="J138" s="12" t="str">
        <f t="shared" si="13"/>
        <v/>
      </c>
      <c r="K138" s="12" t="str">
        <f t="shared" si="14"/>
        <v/>
      </c>
      <c r="L138" s="10" t="str">
        <f>IF(Инвентаризация!C138="","",Инвентаризация!M138)</f>
        <v/>
      </c>
      <c r="M138" s="10" t="str">
        <f>IF(Инвентаризация!C138="","",Инвентаризация!N138)</f>
        <v/>
      </c>
      <c r="N138" s="10" t="str">
        <f>IF(Инвентаризация!C138="","",Инвентаризация!O138)</f>
        <v/>
      </c>
      <c r="O138" s="10" t="str">
        <f>IF(Инвентаризация!C138="","",Инвентаризация!P138)</f>
        <v/>
      </c>
      <c r="P138" s="8" t="str">
        <f>IF(Инвентаризация!C138="","",Инвентаризация!Q138)</f>
        <v/>
      </c>
    </row>
    <row r="139" spans="1:16">
      <c r="A139" s="10" t="str">
        <f>IF(Инвентаризация!C139="","",Инвентаризация!B139)</f>
        <v/>
      </c>
      <c r="B139" s="10" t="str">
        <f>IF(Инвентаризация!C139="","",Инвентаризация!C139)</f>
        <v/>
      </c>
      <c r="C139" s="5" t="str">
        <f>IF(Инвентаризация!C139="","",Инвентаризация!D139)</f>
        <v/>
      </c>
      <c r="D139" s="11" t="str">
        <f>IF(Инвентаризация!C139="","",Инвентаризация!E139)</f>
        <v/>
      </c>
      <c r="E139" s="12" t="str">
        <f>IF(Инвентаризация!C139="","",Инвентаризация!F139)</f>
        <v/>
      </c>
      <c r="F139" s="12" t="str">
        <f>IF(Инвентаризация!C139="","",Инвентаризация!G139)</f>
        <v/>
      </c>
      <c r="G139" s="12" t="str">
        <f t="shared" si="10"/>
        <v/>
      </c>
      <c r="H139" s="13" t="str">
        <f t="shared" si="11"/>
        <v/>
      </c>
      <c r="I139" s="12" t="str">
        <f t="shared" si="12"/>
        <v/>
      </c>
      <c r="J139" s="12" t="str">
        <f t="shared" si="13"/>
        <v/>
      </c>
      <c r="K139" s="12" t="str">
        <f t="shared" si="14"/>
        <v/>
      </c>
      <c r="L139" s="10" t="str">
        <f>IF(Инвентаризация!C139="","",Инвентаризация!M139)</f>
        <v/>
      </c>
      <c r="M139" s="10" t="str">
        <f>IF(Инвентаризация!C139="","",Инвентаризация!N139)</f>
        <v/>
      </c>
      <c r="N139" s="10" t="str">
        <f>IF(Инвентаризация!C139="","",Инвентаризация!O139)</f>
        <v/>
      </c>
      <c r="O139" s="10" t="str">
        <f>IF(Инвентаризация!C139="","",Инвентаризация!P139)</f>
        <v/>
      </c>
      <c r="P139" s="8" t="str">
        <f>IF(Инвентаризация!C139="","",Инвентаризация!Q139)</f>
        <v/>
      </c>
    </row>
    <row r="140" spans="1:16">
      <c r="A140" s="10" t="str">
        <f>IF(Инвентаризация!C140="","",Инвентаризация!B140)</f>
        <v/>
      </c>
      <c r="B140" s="10" t="str">
        <f>IF(Инвентаризация!C140="","",Инвентаризация!C140)</f>
        <v/>
      </c>
      <c r="C140" s="5" t="str">
        <f>IF(Инвентаризация!C140="","",Инвентаризация!D140)</f>
        <v/>
      </c>
      <c r="D140" s="11" t="str">
        <f>IF(Инвентаризация!C140="","",Инвентаризация!E140)</f>
        <v/>
      </c>
      <c r="E140" s="12" t="str">
        <f>IF(Инвентаризация!C140="","",Инвентаризация!F140)</f>
        <v/>
      </c>
      <c r="F140" s="12" t="str">
        <f>IF(Инвентаризация!C140="","",Инвентаризация!G140)</f>
        <v/>
      </c>
      <c r="G140" s="12" t="str">
        <f t="shared" si="10"/>
        <v/>
      </c>
      <c r="H140" s="13" t="str">
        <f t="shared" si="11"/>
        <v/>
      </c>
      <c r="I140" s="12" t="str">
        <f t="shared" si="12"/>
        <v/>
      </c>
      <c r="J140" s="12" t="str">
        <f t="shared" si="13"/>
        <v/>
      </c>
      <c r="K140" s="12" t="str">
        <f t="shared" si="14"/>
        <v/>
      </c>
      <c r="L140" s="10" t="str">
        <f>IF(Инвентаризация!C140="","",Инвентаризация!M140)</f>
        <v/>
      </c>
      <c r="M140" s="10" t="str">
        <f>IF(Инвентаризация!C140="","",Инвентаризация!N140)</f>
        <v/>
      </c>
      <c r="N140" s="10" t="str">
        <f>IF(Инвентаризация!C140="","",Инвентаризация!O140)</f>
        <v/>
      </c>
      <c r="O140" s="10" t="str">
        <f>IF(Инвентаризация!C140="","",Инвентаризация!P140)</f>
        <v/>
      </c>
      <c r="P140" s="8" t="str">
        <f>IF(Инвентаризация!C140="","",Инвентаризация!Q140)</f>
        <v/>
      </c>
    </row>
    <row r="141" spans="1:16">
      <c r="A141" s="10" t="str">
        <f>IF(Инвентаризация!C141="","",Инвентаризация!B141)</f>
        <v/>
      </c>
      <c r="B141" s="10" t="str">
        <f>IF(Инвентаризация!C141="","",Инвентаризация!C141)</f>
        <v/>
      </c>
      <c r="C141" s="5" t="str">
        <f>IF(Инвентаризация!C141="","",Инвентаризация!D141)</f>
        <v/>
      </c>
      <c r="D141" s="11" t="str">
        <f>IF(Инвентаризация!C141="","",Инвентаризация!E141)</f>
        <v/>
      </c>
      <c r="E141" s="12" t="str">
        <f>IF(Инвентаризация!C141="","",Инвентаризация!F141)</f>
        <v/>
      </c>
      <c r="F141" s="12" t="str">
        <f>IF(Инвентаризация!C141="","",Инвентаризация!G141)</f>
        <v/>
      </c>
      <c r="G141" s="12" t="str">
        <f t="shared" si="10"/>
        <v/>
      </c>
      <c r="H141" s="13" t="str">
        <f t="shared" si="11"/>
        <v/>
      </c>
      <c r="I141" s="12" t="str">
        <f t="shared" si="12"/>
        <v/>
      </c>
      <c r="J141" s="12" t="str">
        <f t="shared" si="13"/>
        <v/>
      </c>
      <c r="K141" s="12" t="str">
        <f t="shared" si="14"/>
        <v/>
      </c>
      <c r="L141" s="10" t="str">
        <f>IF(Инвентаризация!C141="","",Инвентаризация!M141)</f>
        <v/>
      </c>
      <c r="M141" s="10" t="str">
        <f>IF(Инвентаризация!C141="","",Инвентаризация!N141)</f>
        <v/>
      </c>
      <c r="N141" s="10" t="str">
        <f>IF(Инвентаризация!C141="","",Инвентаризация!O141)</f>
        <v/>
      </c>
      <c r="O141" s="10" t="str">
        <f>IF(Инвентаризация!C141="","",Инвентаризация!P141)</f>
        <v/>
      </c>
      <c r="P141" s="8" t="str">
        <f>IF(Инвентаризация!C141="","",Инвентаризация!Q141)</f>
        <v/>
      </c>
    </row>
    <row r="142" spans="1:16">
      <c r="A142" s="10" t="str">
        <f>IF(Инвентаризация!C142="","",Инвентаризация!B142)</f>
        <v/>
      </c>
      <c r="B142" s="10" t="str">
        <f>IF(Инвентаризация!C142="","",Инвентаризация!C142)</f>
        <v/>
      </c>
      <c r="C142" s="5" t="str">
        <f>IF(Инвентаризация!C142="","",Инвентаризация!D142)</f>
        <v/>
      </c>
      <c r="D142" s="11" t="str">
        <f>IF(Инвентаризация!C142="","",Инвентаризация!E142)</f>
        <v/>
      </c>
      <c r="E142" s="12" t="str">
        <f>IF(Инвентаризация!C142="","",Инвентаризация!F142)</f>
        <v/>
      </c>
      <c r="F142" s="12" t="str">
        <f>IF(Инвентаризация!C142="","",Инвентаризация!G142)</f>
        <v/>
      </c>
      <c r="G142" s="12" t="str">
        <f t="shared" si="10"/>
        <v/>
      </c>
      <c r="H142" s="13" t="str">
        <f t="shared" si="11"/>
        <v/>
      </c>
      <c r="I142" s="12" t="str">
        <f t="shared" si="12"/>
        <v/>
      </c>
      <c r="J142" s="12" t="str">
        <f t="shared" si="13"/>
        <v/>
      </c>
      <c r="K142" s="12" t="str">
        <f t="shared" si="14"/>
        <v/>
      </c>
      <c r="L142" s="10" t="str">
        <f>IF(Инвентаризация!C142="","",Инвентаризация!M142)</f>
        <v/>
      </c>
      <c r="M142" s="10" t="str">
        <f>IF(Инвентаризация!C142="","",Инвентаризация!N142)</f>
        <v/>
      </c>
      <c r="N142" s="10" t="str">
        <f>IF(Инвентаризация!C142="","",Инвентаризация!O142)</f>
        <v/>
      </c>
      <c r="O142" s="10" t="str">
        <f>IF(Инвентаризация!C142="","",Инвентаризация!P142)</f>
        <v/>
      </c>
      <c r="P142" s="8" t="str">
        <f>IF(Инвентаризация!C142="","",Инвентаризация!Q142)</f>
        <v/>
      </c>
    </row>
    <row r="143" spans="1:16">
      <c r="A143" s="10" t="str">
        <f>IF(Инвентаризация!C143="","",Инвентаризация!B143)</f>
        <v/>
      </c>
      <c r="B143" s="10" t="str">
        <f>IF(Инвентаризация!C143="","",Инвентаризация!C143)</f>
        <v/>
      </c>
      <c r="C143" s="5" t="str">
        <f>IF(Инвентаризация!C143="","",Инвентаризация!D143)</f>
        <v/>
      </c>
      <c r="D143" s="11" t="str">
        <f>IF(Инвентаризация!C143="","",Инвентаризация!E143)</f>
        <v/>
      </c>
      <c r="E143" s="12" t="str">
        <f>IF(Инвентаризация!C143="","",Инвентаризация!F143)</f>
        <v/>
      </c>
      <c r="F143" s="12" t="str">
        <f>IF(Инвентаризация!C143="","",Инвентаризация!G143)</f>
        <v/>
      </c>
      <c r="G143" s="12" t="str">
        <f t="shared" si="10"/>
        <v/>
      </c>
      <c r="H143" s="13" t="str">
        <f t="shared" si="11"/>
        <v/>
      </c>
      <c r="I143" s="12" t="str">
        <f t="shared" si="12"/>
        <v/>
      </c>
      <c r="J143" s="12" t="str">
        <f t="shared" si="13"/>
        <v/>
      </c>
      <c r="K143" s="12" t="str">
        <f t="shared" si="14"/>
        <v/>
      </c>
      <c r="L143" s="10" t="str">
        <f>IF(Инвентаризация!C143="","",Инвентаризация!M143)</f>
        <v/>
      </c>
      <c r="M143" s="10" t="str">
        <f>IF(Инвентаризация!C143="","",Инвентаризация!N143)</f>
        <v/>
      </c>
      <c r="N143" s="10" t="str">
        <f>IF(Инвентаризация!C143="","",Инвентаризация!O143)</f>
        <v/>
      </c>
      <c r="O143" s="10" t="str">
        <f>IF(Инвентаризация!C143="","",Инвентаризация!P143)</f>
        <v/>
      </c>
      <c r="P143" s="8" t="str">
        <f>IF(Инвентаризация!C143="","",Инвентаризация!Q143)</f>
        <v/>
      </c>
    </row>
    <row r="144" spans="1:16">
      <c r="A144" s="10" t="str">
        <f>IF(Инвентаризация!C144="","",Инвентаризация!B144)</f>
        <v/>
      </c>
      <c r="B144" s="10" t="str">
        <f>IF(Инвентаризация!C144="","",Инвентаризация!C144)</f>
        <v/>
      </c>
      <c r="C144" s="5" t="str">
        <f>IF(Инвентаризация!C144="","",Инвентаризация!D144)</f>
        <v/>
      </c>
      <c r="D144" s="11" t="str">
        <f>IF(Инвентаризация!C144="","",Инвентаризация!E144)</f>
        <v/>
      </c>
      <c r="E144" s="12" t="str">
        <f>IF(Инвентаризация!C144="","",Инвентаризация!F144)</f>
        <v/>
      </c>
      <c r="F144" s="12" t="str">
        <f>IF(Инвентаризация!C144="","",Инвентаризация!G144)</f>
        <v/>
      </c>
      <c r="G144" s="12" t="str">
        <f t="shared" si="10"/>
        <v/>
      </c>
      <c r="H144" s="13" t="str">
        <f t="shared" si="11"/>
        <v/>
      </c>
      <c r="I144" s="12" t="str">
        <f t="shared" si="12"/>
        <v/>
      </c>
      <c r="J144" s="12" t="str">
        <f t="shared" si="13"/>
        <v/>
      </c>
      <c r="K144" s="12" t="str">
        <f t="shared" si="14"/>
        <v/>
      </c>
      <c r="L144" s="10" t="str">
        <f>IF(Инвентаризация!C144="","",Инвентаризация!M144)</f>
        <v/>
      </c>
      <c r="M144" s="10" t="str">
        <f>IF(Инвентаризация!C144="","",Инвентаризация!N144)</f>
        <v/>
      </c>
      <c r="N144" s="10" t="str">
        <f>IF(Инвентаризация!C144="","",Инвентаризация!O144)</f>
        <v/>
      </c>
      <c r="O144" s="10" t="str">
        <f>IF(Инвентаризация!C144="","",Инвентаризация!P144)</f>
        <v/>
      </c>
      <c r="P144" s="8" t="str">
        <f>IF(Инвентаризация!C144="","",Инвентаризация!Q144)</f>
        <v/>
      </c>
    </row>
    <row r="145" spans="1:16">
      <c r="A145" s="10" t="str">
        <f>IF(Инвентаризация!C145="","",Инвентаризация!B145)</f>
        <v/>
      </c>
      <c r="B145" s="10" t="str">
        <f>IF(Инвентаризация!C145="","",Инвентаризация!C145)</f>
        <v/>
      </c>
      <c r="C145" s="5" t="str">
        <f>IF(Инвентаризация!C145="","",Инвентаризация!D145)</f>
        <v/>
      </c>
      <c r="D145" s="11" t="str">
        <f>IF(Инвентаризация!C145="","",Инвентаризация!E145)</f>
        <v/>
      </c>
      <c r="E145" s="12" t="str">
        <f>IF(Инвентаризация!C145="","",Инвентаризация!F145)</f>
        <v/>
      </c>
      <c r="F145" s="12" t="str">
        <f>IF(Инвентаризация!C145="","",Инвентаризация!G145)</f>
        <v/>
      </c>
      <c r="G145" s="12" t="str">
        <f t="shared" si="10"/>
        <v/>
      </c>
      <c r="H145" s="13" t="str">
        <f t="shared" si="11"/>
        <v/>
      </c>
      <c r="I145" s="12" t="str">
        <f t="shared" si="12"/>
        <v/>
      </c>
      <c r="J145" s="12" t="str">
        <f t="shared" si="13"/>
        <v/>
      </c>
      <c r="K145" s="12" t="str">
        <f t="shared" si="14"/>
        <v/>
      </c>
      <c r="L145" s="10" t="str">
        <f>IF(Инвентаризация!C145="","",Инвентаризация!M145)</f>
        <v/>
      </c>
      <c r="M145" s="10" t="str">
        <f>IF(Инвентаризация!C145="","",Инвентаризация!N145)</f>
        <v/>
      </c>
      <c r="N145" s="10" t="str">
        <f>IF(Инвентаризация!C145="","",Инвентаризация!O145)</f>
        <v/>
      </c>
      <c r="O145" s="10" t="str">
        <f>IF(Инвентаризация!C145="","",Инвентаризация!P145)</f>
        <v/>
      </c>
      <c r="P145" s="8" t="str">
        <f>IF(Инвентаризация!C145="","",Инвентаризация!Q145)</f>
        <v/>
      </c>
    </row>
    <row r="146" spans="1:16">
      <c r="A146" s="10" t="str">
        <f>IF(Инвентаризация!C146="","",Инвентаризация!B146)</f>
        <v/>
      </c>
      <c r="B146" s="10" t="str">
        <f>IF(Инвентаризация!C146="","",Инвентаризация!C146)</f>
        <v/>
      </c>
      <c r="C146" s="5" t="str">
        <f>IF(Инвентаризация!C146="","",Инвентаризация!D146)</f>
        <v/>
      </c>
      <c r="D146" s="11" t="str">
        <f>IF(Инвентаризация!C146="","",Инвентаризация!E146)</f>
        <v/>
      </c>
      <c r="E146" s="12" t="str">
        <f>IF(Инвентаризация!C146="","",Инвентаризация!F146)</f>
        <v/>
      </c>
      <c r="F146" s="12" t="str">
        <f>IF(Инвентаризация!C146="","",Инвентаризация!G146)</f>
        <v/>
      </c>
      <c r="G146" s="12" t="str">
        <f t="shared" si="10"/>
        <v/>
      </c>
      <c r="H146" s="13" t="str">
        <f t="shared" si="11"/>
        <v/>
      </c>
      <c r="I146" s="12" t="str">
        <f t="shared" si="12"/>
        <v/>
      </c>
      <c r="J146" s="12" t="str">
        <f t="shared" si="13"/>
        <v/>
      </c>
      <c r="K146" s="12" t="str">
        <f t="shared" si="14"/>
        <v/>
      </c>
      <c r="L146" s="10" t="str">
        <f>IF(Инвентаризация!C146="","",Инвентаризация!M146)</f>
        <v/>
      </c>
      <c r="M146" s="10" t="str">
        <f>IF(Инвентаризация!C146="","",Инвентаризация!N146)</f>
        <v/>
      </c>
      <c r="N146" s="10" t="str">
        <f>IF(Инвентаризация!C146="","",Инвентаризация!O146)</f>
        <v/>
      </c>
      <c r="O146" s="10" t="str">
        <f>IF(Инвентаризация!C146="","",Инвентаризация!P146)</f>
        <v/>
      </c>
      <c r="P146" s="8" t="str">
        <f>IF(Инвентаризация!C146="","",Инвентаризация!Q146)</f>
        <v/>
      </c>
    </row>
    <row r="147" spans="1:16">
      <c r="A147" s="10" t="str">
        <f>IF(Инвентаризация!C147="","",Инвентаризация!B147)</f>
        <v/>
      </c>
      <c r="B147" s="10" t="str">
        <f>IF(Инвентаризация!C147="","",Инвентаризация!C147)</f>
        <v/>
      </c>
      <c r="C147" s="5" t="str">
        <f>IF(Инвентаризация!C147="","",Инвентаризация!D147)</f>
        <v/>
      </c>
      <c r="D147" s="11" t="str">
        <f>IF(Инвентаризация!C147="","",Инвентаризация!E147)</f>
        <v/>
      </c>
      <c r="E147" s="12" t="str">
        <f>IF(Инвентаризация!C147="","",Инвентаризация!F147)</f>
        <v/>
      </c>
      <c r="F147" s="12" t="str">
        <f>IF(Инвентаризация!C147="","",Инвентаризация!G147)</f>
        <v/>
      </c>
      <c r="G147" s="12" t="str">
        <f t="shared" si="10"/>
        <v/>
      </c>
      <c r="H147" s="13" t="str">
        <f t="shared" si="11"/>
        <v/>
      </c>
      <c r="I147" s="12" t="str">
        <f t="shared" si="12"/>
        <v/>
      </c>
      <c r="J147" s="12" t="str">
        <f t="shared" si="13"/>
        <v/>
      </c>
      <c r="K147" s="12" t="str">
        <f t="shared" si="14"/>
        <v/>
      </c>
      <c r="L147" s="10" t="str">
        <f>IF(Инвентаризация!C147="","",Инвентаризация!M147)</f>
        <v/>
      </c>
      <c r="M147" s="10" t="str">
        <f>IF(Инвентаризация!C147="","",Инвентаризация!N147)</f>
        <v/>
      </c>
      <c r="N147" s="10" t="str">
        <f>IF(Инвентаризация!C147="","",Инвентаризация!O147)</f>
        <v/>
      </c>
      <c r="O147" s="10" t="str">
        <f>IF(Инвентаризация!C147="","",Инвентаризация!P147)</f>
        <v/>
      </c>
      <c r="P147" s="8" t="str">
        <f>IF(Инвентаризация!C147="","",Инвентаризация!Q147)</f>
        <v/>
      </c>
    </row>
    <row r="148" spans="1:16">
      <c r="A148" s="10" t="str">
        <f>IF(Инвентаризация!C148="","",Инвентаризация!B148)</f>
        <v/>
      </c>
      <c r="B148" s="10" t="str">
        <f>IF(Инвентаризация!C148="","",Инвентаризация!C148)</f>
        <v/>
      </c>
      <c r="C148" s="5" t="str">
        <f>IF(Инвентаризация!C148="","",Инвентаризация!D148)</f>
        <v/>
      </c>
      <c r="D148" s="11" t="str">
        <f>IF(Инвентаризация!C148="","",Инвентаризация!E148)</f>
        <v/>
      </c>
      <c r="E148" s="12" t="str">
        <f>IF(Инвентаризация!C148="","",Инвентаризация!F148)</f>
        <v/>
      </c>
      <c r="F148" s="12" t="str">
        <f>IF(Инвентаризация!C148="","",Инвентаризация!G148)</f>
        <v/>
      </c>
      <c r="G148" s="12" t="str">
        <f t="shared" si="10"/>
        <v/>
      </c>
      <c r="H148" s="13" t="str">
        <f t="shared" si="11"/>
        <v/>
      </c>
      <c r="I148" s="12" t="str">
        <f t="shared" si="12"/>
        <v/>
      </c>
      <c r="J148" s="12" t="str">
        <f t="shared" si="13"/>
        <v/>
      </c>
      <c r="K148" s="12" t="str">
        <f t="shared" si="14"/>
        <v/>
      </c>
      <c r="L148" s="10" t="str">
        <f>IF(Инвентаризация!C148="","",Инвентаризация!M148)</f>
        <v/>
      </c>
      <c r="M148" s="10" t="str">
        <f>IF(Инвентаризация!C148="","",Инвентаризация!N148)</f>
        <v/>
      </c>
      <c r="N148" s="10" t="str">
        <f>IF(Инвентаризация!C148="","",Инвентаризация!O148)</f>
        <v/>
      </c>
      <c r="O148" s="10" t="str">
        <f>IF(Инвентаризация!C148="","",Инвентаризация!P148)</f>
        <v/>
      </c>
      <c r="P148" s="8" t="str">
        <f>IF(Инвентаризация!C148="","",Инвентаризация!Q148)</f>
        <v/>
      </c>
    </row>
    <row r="149" spans="1:16">
      <c r="A149" s="10" t="str">
        <f>IF(Инвентаризация!C149="","",Инвентаризация!B149)</f>
        <v/>
      </c>
      <c r="B149" s="10" t="str">
        <f>IF(Инвентаризация!C149="","",Инвентаризация!C149)</f>
        <v/>
      </c>
      <c r="C149" s="5" t="str">
        <f>IF(Инвентаризация!C149="","",Инвентаризация!D149)</f>
        <v/>
      </c>
      <c r="D149" s="11" t="str">
        <f>IF(Инвентаризация!C149="","",Инвентаризация!E149)</f>
        <v/>
      </c>
      <c r="E149" s="12" t="str">
        <f>IF(Инвентаризация!C149="","",Инвентаризация!F149)</f>
        <v/>
      </c>
      <c r="F149" s="12" t="str">
        <f>IF(Инвентаризация!C149="","",Инвентаризация!G149)</f>
        <v/>
      </c>
      <c r="G149" s="12" t="str">
        <f t="shared" si="10"/>
        <v/>
      </c>
      <c r="H149" s="13" t="str">
        <f t="shared" si="11"/>
        <v/>
      </c>
      <c r="I149" s="12" t="str">
        <f t="shared" si="12"/>
        <v/>
      </c>
      <c r="J149" s="12" t="str">
        <f t="shared" si="13"/>
        <v/>
      </c>
      <c r="K149" s="12" t="str">
        <f t="shared" si="14"/>
        <v/>
      </c>
      <c r="L149" s="10" t="str">
        <f>IF(Инвентаризация!C149="","",Инвентаризация!M149)</f>
        <v/>
      </c>
      <c r="M149" s="10" t="str">
        <f>IF(Инвентаризация!C149="","",Инвентаризация!N149)</f>
        <v/>
      </c>
      <c r="N149" s="10" t="str">
        <f>IF(Инвентаризация!C149="","",Инвентаризация!O149)</f>
        <v/>
      </c>
      <c r="O149" s="10" t="str">
        <f>IF(Инвентаризация!C149="","",Инвентаризация!P149)</f>
        <v/>
      </c>
      <c r="P149" s="8" t="str">
        <f>IF(Инвентаризация!C149="","",Инвентаризация!Q149)</f>
        <v/>
      </c>
    </row>
    <row r="150" spans="1:16">
      <c r="A150" s="10" t="str">
        <f>IF(Инвентаризация!C150="","",Инвентаризация!B150)</f>
        <v/>
      </c>
      <c r="B150" s="10" t="str">
        <f>IF(Инвентаризация!C150="","",Инвентаризация!C150)</f>
        <v/>
      </c>
      <c r="C150" s="5" t="str">
        <f>IF(Инвентаризация!C150="","",Инвентаризация!D150)</f>
        <v/>
      </c>
      <c r="D150" s="11" t="str">
        <f>IF(Инвентаризация!C150="","",Инвентаризация!E150)</f>
        <v/>
      </c>
      <c r="E150" s="12" t="str">
        <f>IF(Инвентаризация!C150="","",Инвентаризация!F150)</f>
        <v/>
      </c>
      <c r="F150" s="12" t="str">
        <f>IF(Инвентаризация!C150="","",Инвентаризация!G150)</f>
        <v/>
      </c>
      <c r="G150" s="12" t="str">
        <f t="shared" si="10"/>
        <v/>
      </c>
      <c r="H150" s="13" t="str">
        <f t="shared" si="11"/>
        <v/>
      </c>
      <c r="I150" s="12" t="str">
        <f t="shared" si="12"/>
        <v/>
      </c>
      <c r="J150" s="12" t="str">
        <f t="shared" si="13"/>
        <v/>
      </c>
      <c r="K150" s="12" t="str">
        <f t="shared" si="14"/>
        <v/>
      </c>
      <c r="L150" s="10" t="str">
        <f>IF(Инвентаризация!C150="","",Инвентаризация!M150)</f>
        <v/>
      </c>
      <c r="M150" s="10" t="str">
        <f>IF(Инвентаризация!C150="","",Инвентаризация!N150)</f>
        <v/>
      </c>
      <c r="N150" s="10" t="str">
        <f>IF(Инвентаризация!C150="","",Инвентаризация!O150)</f>
        <v/>
      </c>
      <c r="O150" s="10" t="str">
        <f>IF(Инвентаризация!C150="","",Инвентаризация!P150)</f>
        <v/>
      </c>
      <c r="P150" s="8" t="str">
        <f>IF(Инвентаризация!C150="","",Инвентаризация!Q150)</f>
        <v/>
      </c>
    </row>
    <row r="151" spans="1:16">
      <c r="A151" s="10" t="str">
        <f>IF(Инвентаризация!C151="","",Инвентаризация!B151)</f>
        <v/>
      </c>
      <c r="B151" s="10" t="str">
        <f>IF(Инвентаризация!C151="","",Инвентаризация!C151)</f>
        <v/>
      </c>
      <c r="C151" s="5" t="str">
        <f>IF(Инвентаризация!C151="","",Инвентаризация!D151)</f>
        <v/>
      </c>
      <c r="D151" s="11" t="str">
        <f>IF(Инвентаризация!C151="","",Инвентаризация!E151)</f>
        <v/>
      </c>
      <c r="E151" s="12" t="str">
        <f>IF(Инвентаризация!C151="","",Инвентаризация!F151)</f>
        <v/>
      </c>
      <c r="F151" s="12" t="str">
        <f>IF(Инвентаризация!C151="","",Инвентаризация!G151)</f>
        <v/>
      </c>
      <c r="G151" s="12" t="str">
        <f t="shared" si="10"/>
        <v/>
      </c>
      <c r="H151" s="13" t="str">
        <f t="shared" si="11"/>
        <v/>
      </c>
      <c r="I151" s="12" t="str">
        <f t="shared" si="12"/>
        <v/>
      </c>
      <c r="J151" s="12" t="str">
        <f t="shared" si="13"/>
        <v/>
      </c>
      <c r="K151" s="12" t="str">
        <f t="shared" si="14"/>
        <v/>
      </c>
      <c r="L151" s="10" t="str">
        <f>IF(Инвентаризация!C151="","",Инвентаризация!M151)</f>
        <v/>
      </c>
      <c r="M151" s="10" t="str">
        <f>IF(Инвентаризация!C151="","",Инвентаризация!N151)</f>
        <v/>
      </c>
      <c r="N151" s="10" t="str">
        <f>IF(Инвентаризация!C151="","",Инвентаризация!O151)</f>
        <v/>
      </c>
      <c r="O151" s="10" t="str">
        <f>IF(Инвентаризация!C151="","",Инвентаризация!P151)</f>
        <v/>
      </c>
      <c r="P151" s="8" t="str">
        <f>IF(Инвентаризация!C151="","",Инвентаризация!Q151)</f>
        <v/>
      </c>
    </row>
    <row r="152" spans="1:16">
      <c r="A152" s="10" t="str">
        <f>IF(Инвентаризация!C152="","",Инвентаризация!B152)</f>
        <v/>
      </c>
      <c r="B152" s="10" t="str">
        <f>IF(Инвентаризация!C152="","",Инвентаризация!C152)</f>
        <v/>
      </c>
      <c r="C152" s="5" t="str">
        <f>IF(Инвентаризация!C152="","",Инвентаризация!D152)</f>
        <v/>
      </c>
      <c r="D152" s="11" t="str">
        <f>IF(Инвентаризация!C152="","",Инвентаризация!E152)</f>
        <v/>
      </c>
      <c r="E152" s="12" t="str">
        <f>IF(Инвентаризация!C152="","",Инвентаризация!F152)</f>
        <v/>
      </c>
      <c r="F152" s="12" t="str">
        <f>IF(Инвентаризация!C152="","",Инвентаризация!G152)</f>
        <v/>
      </c>
      <c r="G152" s="12" t="str">
        <f t="shared" si="10"/>
        <v/>
      </c>
      <c r="H152" s="13" t="str">
        <f t="shared" si="11"/>
        <v/>
      </c>
      <c r="I152" s="12" t="str">
        <f t="shared" si="12"/>
        <v/>
      </c>
      <c r="J152" s="12" t="str">
        <f t="shared" si="13"/>
        <v/>
      </c>
      <c r="K152" s="12" t="str">
        <f t="shared" si="14"/>
        <v/>
      </c>
      <c r="L152" s="10" t="str">
        <f>IF(Инвентаризация!C152="","",Инвентаризация!M152)</f>
        <v/>
      </c>
      <c r="M152" s="10" t="str">
        <f>IF(Инвентаризация!C152="","",Инвентаризация!N152)</f>
        <v/>
      </c>
      <c r="N152" s="10" t="str">
        <f>IF(Инвентаризация!C152="","",Инвентаризация!O152)</f>
        <v/>
      </c>
      <c r="O152" s="10" t="str">
        <f>IF(Инвентаризация!C152="","",Инвентаризация!P152)</f>
        <v/>
      </c>
      <c r="P152" s="8" t="str">
        <f>IF(Инвентаризация!C152="","",Инвентаризация!Q152)</f>
        <v/>
      </c>
    </row>
    <row r="153" spans="1:16">
      <c r="A153" s="10" t="str">
        <f>IF(Инвентаризация!C153="","",Инвентаризация!B153)</f>
        <v/>
      </c>
      <c r="B153" s="10" t="str">
        <f>IF(Инвентаризация!C153="","",Инвентаризация!C153)</f>
        <v/>
      </c>
      <c r="C153" s="5" t="str">
        <f>IF(Инвентаризация!C153="","",Инвентаризация!D153)</f>
        <v/>
      </c>
      <c r="D153" s="11" t="str">
        <f>IF(Инвентаризация!C153="","",Инвентаризация!E153)</f>
        <v/>
      </c>
      <c r="E153" s="12" t="str">
        <f>IF(Инвентаризация!C153="","",Инвентаризация!F153)</f>
        <v/>
      </c>
      <c r="F153" s="12" t="str">
        <f>IF(Инвентаризация!C153="","",Инвентаризация!G153)</f>
        <v/>
      </c>
      <c r="G153" s="12" t="str">
        <f t="shared" si="10"/>
        <v/>
      </c>
      <c r="H153" s="13" t="str">
        <f t="shared" si="11"/>
        <v/>
      </c>
      <c r="I153" s="12" t="str">
        <f t="shared" si="12"/>
        <v/>
      </c>
      <c r="J153" s="12" t="str">
        <f t="shared" si="13"/>
        <v/>
      </c>
      <c r="K153" s="12" t="str">
        <f t="shared" si="14"/>
        <v/>
      </c>
      <c r="L153" s="10" t="str">
        <f>IF(Инвентаризация!C153="","",Инвентаризация!M153)</f>
        <v/>
      </c>
      <c r="M153" s="10" t="str">
        <f>IF(Инвентаризация!C153="","",Инвентаризация!N153)</f>
        <v/>
      </c>
      <c r="N153" s="10" t="str">
        <f>IF(Инвентаризация!C153="","",Инвентаризация!O153)</f>
        <v/>
      </c>
      <c r="O153" s="10" t="str">
        <f>IF(Инвентаризация!C153="","",Инвентаризация!P153)</f>
        <v/>
      </c>
      <c r="P153" s="8" t="str">
        <f>IF(Инвентаризация!C153="","",Инвентаризация!Q153)</f>
        <v/>
      </c>
    </row>
    <row r="154" spans="1:16">
      <c r="A154" s="10" t="str">
        <f>IF(Инвентаризация!C154="","",Инвентаризация!B154)</f>
        <v/>
      </c>
      <c r="B154" s="10" t="str">
        <f>IF(Инвентаризация!C154="","",Инвентаризация!C154)</f>
        <v/>
      </c>
      <c r="C154" s="5" t="str">
        <f>IF(Инвентаризация!C154="","",Инвентаризация!D154)</f>
        <v/>
      </c>
      <c r="D154" s="11" t="str">
        <f>IF(Инвентаризация!C154="","",Инвентаризация!E154)</f>
        <v/>
      </c>
      <c r="E154" s="12" t="str">
        <f>IF(Инвентаризация!C154="","",Инвентаризация!F154)</f>
        <v/>
      </c>
      <c r="F154" s="12" t="str">
        <f>IF(Инвентаризация!C154="","",Инвентаризация!G154)</f>
        <v/>
      </c>
      <c r="G154" s="12" t="str">
        <f t="shared" si="10"/>
        <v/>
      </c>
      <c r="H154" s="13" t="str">
        <f t="shared" si="11"/>
        <v/>
      </c>
      <c r="I154" s="12" t="str">
        <f t="shared" si="12"/>
        <v/>
      </c>
      <c r="J154" s="12" t="str">
        <f t="shared" si="13"/>
        <v/>
      </c>
      <c r="K154" s="12" t="str">
        <f t="shared" si="14"/>
        <v/>
      </c>
      <c r="L154" s="10" t="str">
        <f>IF(Инвентаризация!C154="","",Инвентаризация!M154)</f>
        <v/>
      </c>
      <c r="M154" s="10" t="str">
        <f>IF(Инвентаризация!C154="","",Инвентаризация!N154)</f>
        <v/>
      </c>
      <c r="N154" s="10" t="str">
        <f>IF(Инвентаризация!C154="","",Инвентаризация!O154)</f>
        <v/>
      </c>
      <c r="O154" s="10" t="str">
        <f>IF(Инвентаризация!C154="","",Инвентаризация!P154)</f>
        <v/>
      </c>
      <c r="P154" s="8" t="str">
        <f>IF(Инвентаризация!C154="","",Инвентаризация!Q154)</f>
        <v/>
      </c>
    </row>
    <row r="155" spans="1:16">
      <c r="A155" s="10" t="str">
        <f>IF(Инвентаризация!C155="","",Инвентаризация!B155)</f>
        <v/>
      </c>
      <c r="B155" s="10" t="str">
        <f>IF(Инвентаризация!C155="","",Инвентаризация!C155)</f>
        <v/>
      </c>
      <c r="C155" s="5" t="str">
        <f>IF(Инвентаризация!C155="","",Инвентаризация!D155)</f>
        <v/>
      </c>
      <c r="D155" s="11" t="str">
        <f>IF(Инвентаризация!C155="","",Инвентаризация!E155)</f>
        <v/>
      </c>
      <c r="E155" s="12" t="str">
        <f>IF(Инвентаризация!C155="","",Инвентаризация!F155)</f>
        <v/>
      </c>
      <c r="F155" s="12" t="str">
        <f>IF(Инвентаризация!C155="","",Инвентаризация!G155)</f>
        <v/>
      </c>
      <c r="G155" s="12" t="str">
        <f t="shared" si="10"/>
        <v/>
      </c>
      <c r="H155" s="13" t="str">
        <f t="shared" si="11"/>
        <v/>
      </c>
      <c r="I155" s="12" t="str">
        <f t="shared" si="12"/>
        <v/>
      </c>
      <c r="J155" s="12" t="str">
        <f t="shared" si="13"/>
        <v/>
      </c>
      <c r="K155" s="12" t="str">
        <f t="shared" si="14"/>
        <v/>
      </c>
      <c r="L155" s="10" t="str">
        <f>IF(Инвентаризация!C155="","",Инвентаризация!M155)</f>
        <v/>
      </c>
      <c r="M155" s="10" t="str">
        <f>IF(Инвентаризация!C155="","",Инвентаризация!N155)</f>
        <v/>
      </c>
      <c r="N155" s="10" t="str">
        <f>IF(Инвентаризация!C155="","",Инвентаризация!O155)</f>
        <v/>
      </c>
      <c r="O155" s="10" t="str">
        <f>IF(Инвентаризация!C155="","",Инвентаризация!P155)</f>
        <v/>
      </c>
      <c r="P155" s="8" t="str">
        <f>IF(Инвентаризация!C155="","",Инвентаризация!Q155)</f>
        <v/>
      </c>
    </row>
    <row r="156" spans="1:16">
      <c r="A156" s="10" t="str">
        <f>IF(Инвентаризация!C156="","",Инвентаризация!B156)</f>
        <v/>
      </c>
      <c r="B156" s="10" t="str">
        <f>IF(Инвентаризация!C156="","",Инвентаризация!C156)</f>
        <v/>
      </c>
      <c r="C156" s="5" t="str">
        <f>IF(Инвентаризация!C156="","",Инвентаризация!D156)</f>
        <v/>
      </c>
      <c r="D156" s="11" t="str">
        <f>IF(Инвентаризация!C156="","",Инвентаризация!E156)</f>
        <v/>
      </c>
      <c r="E156" s="12" t="str">
        <f>IF(Инвентаризация!C156="","",Инвентаризация!F156)</f>
        <v/>
      </c>
      <c r="F156" s="12" t="str">
        <f>IF(Инвентаризация!C156="","",Инвентаризация!G156)</f>
        <v/>
      </c>
      <c r="G156" s="12" t="str">
        <f t="shared" si="10"/>
        <v/>
      </c>
      <c r="H156" s="13" t="str">
        <f t="shared" si="11"/>
        <v/>
      </c>
      <c r="I156" s="12" t="str">
        <f t="shared" si="12"/>
        <v/>
      </c>
      <c r="J156" s="12" t="str">
        <f t="shared" si="13"/>
        <v/>
      </c>
      <c r="K156" s="12" t="str">
        <f t="shared" si="14"/>
        <v/>
      </c>
      <c r="L156" s="10" t="str">
        <f>IF(Инвентаризация!C156="","",Инвентаризация!M156)</f>
        <v/>
      </c>
      <c r="M156" s="10" t="str">
        <f>IF(Инвентаризация!C156="","",Инвентаризация!N156)</f>
        <v/>
      </c>
      <c r="N156" s="10" t="str">
        <f>IF(Инвентаризация!C156="","",Инвентаризация!O156)</f>
        <v/>
      </c>
      <c r="O156" s="10" t="str">
        <f>IF(Инвентаризация!C156="","",Инвентаризация!P156)</f>
        <v/>
      </c>
      <c r="P156" s="8" t="str">
        <f>IF(Инвентаризация!C156="","",Инвентаризация!Q156)</f>
        <v/>
      </c>
    </row>
    <row r="157" spans="1:16">
      <c r="A157" s="10" t="str">
        <f>IF(Инвентаризация!C157="","",Инвентаризация!B157)</f>
        <v/>
      </c>
      <c r="B157" s="10" t="str">
        <f>IF(Инвентаризация!C157="","",Инвентаризация!C157)</f>
        <v/>
      </c>
      <c r="C157" s="5" t="str">
        <f>IF(Инвентаризация!C157="","",Инвентаризация!D157)</f>
        <v/>
      </c>
      <c r="D157" s="11" t="str">
        <f>IF(Инвентаризация!C157="","",Инвентаризация!E157)</f>
        <v/>
      </c>
      <c r="E157" s="12" t="str">
        <f>IF(Инвентаризация!C157="","",Инвентаризация!F157)</f>
        <v/>
      </c>
      <c r="F157" s="12" t="str">
        <f>IF(Инвентаризация!C157="","",Инвентаризация!G157)</f>
        <v/>
      </c>
      <c r="G157" s="12" t="str">
        <f t="shared" si="10"/>
        <v/>
      </c>
      <c r="H157" s="13" t="str">
        <f t="shared" si="11"/>
        <v/>
      </c>
      <c r="I157" s="12" t="str">
        <f t="shared" si="12"/>
        <v/>
      </c>
      <c r="J157" s="12" t="str">
        <f t="shared" si="13"/>
        <v/>
      </c>
      <c r="K157" s="12" t="str">
        <f t="shared" si="14"/>
        <v/>
      </c>
      <c r="L157" s="10" t="str">
        <f>IF(Инвентаризация!C157="","",Инвентаризация!M157)</f>
        <v/>
      </c>
      <c r="M157" s="10" t="str">
        <f>IF(Инвентаризация!C157="","",Инвентаризация!N157)</f>
        <v/>
      </c>
      <c r="N157" s="10" t="str">
        <f>IF(Инвентаризация!C157="","",Инвентаризация!O157)</f>
        <v/>
      </c>
      <c r="O157" s="10" t="str">
        <f>IF(Инвентаризация!C157="","",Инвентаризация!P157)</f>
        <v/>
      </c>
      <c r="P157" s="8" t="str">
        <f>IF(Инвентаризация!C157="","",Инвентаризация!Q157)</f>
        <v/>
      </c>
    </row>
    <row r="158" spans="1:16">
      <c r="A158" s="10" t="str">
        <f>IF(Инвентаризация!C158="","",Инвентаризация!B158)</f>
        <v/>
      </c>
      <c r="B158" s="10" t="str">
        <f>IF(Инвентаризация!C158="","",Инвентаризация!C158)</f>
        <v/>
      </c>
      <c r="C158" s="5" t="str">
        <f>IF(Инвентаризация!C158="","",Инвентаризация!D158)</f>
        <v/>
      </c>
      <c r="D158" s="11" t="str">
        <f>IF(Инвентаризация!C158="","",Инвентаризация!E158)</f>
        <v/>
      </c>
      <c r="E158" s="12" t="str">
        <f>IF(Инвентаризация!C158="","",Инвентаризация!F158)</f>
        <v/>
      </c>
      <c r="F158" s="12" t="str">
        <f>IF(Инвентаризация!C158="","",Инвентаризация!G158)</f>
        <v/>
      </c>
      <c r="G158" s="12" t="str">
        <f t="shared" si="10"/>
        <v/>
      </c>
      <c r="H158" s="13" t="str">
        <f t="shared" si="11"/>
        <v/>
      </c>
      <c r="I158" s="12" t="str">
        <f t="shared" si="12"/>
        <v/>
      </c>
      <c r="J158" s="12" t="str">
        <f t="shared" si="13"/>
        <v/>
      </c>
      <c r="K158" s="12" t="str">
        <f t="shared" si="14"/>
        <v/>
      </c>
      <c r="L158" s="10" t="str">
        <f>IF(Инвентаризация!C158="","",Инвентаризация!M158)</f>
        <v/>
      </c>
      <c r="M158" s="10" t="str">
        <f>IF(Инвентаризация!C158="","",Инвентаризация!N158)</f>
        <v/>
      </c>
      <c r="N158" s="10" t="str">
        <f>IF(Инвентаризация!C158="","",Инвентаризация!O158)</f>
        <v/>
      </c>
      <c r="O158" s="10" t="str">
        <f>IF(Инвентаризация!C158="","",Инвентаризация!P158)</f>
        <v/>
      </c>
      <c r="P158" s="8" t="str">
        <f>IF(Инвентаризация!C158="","",Инвентаризация!Q158)</f>
        <v/>
      </c>
    </row>
    <row r="159" spans="1:16">
      <c r="A159" s="10" t="str">
        <f>IF(Инвентаризация!C159="","",Инвентаризация!B159)</f>
        <v/>
      </c>
      <c r="B159" s="10" t="str">
        <f>IF(Инвентаризация!C159="","",Инвентаризация!C159)</f>
        <v/>
      </c>
      <c r="C159" s="5" t="str">
        <f>IF(Инвентаризация!C159="","",Инвентаризация!D159)</f>
        <v/>
      </c>
      <c r="D159" s="11" t="str">
        <f>IF(Инвентаризация!C159="","",Инвентаризация!E159)</f>
        <v/>
      </c>
      <c r="E159" s="12" t="str">
        <f>IF(Инвентаризация!C159="","",Инвентаризация!F159)</f>
        <v/>
      </c>
      <c r="F159" s="12" t="str">
        <f>IF(Инвентаризация!C159="","",Инвентаризация!G159)</f>
        <v/>
      </c>
      <c r="G159" s="12" t="str">
        <f t="shared" si="10"/>
        <v/>
      </c>
      <c r="H159" s="13" t="str">
        <f t="shared" si="11"/>
        <v/>
      </c>
      <c r="I159" s="12" t="str">
        <f t="shared" si="12"/>
        <v/>
      </c>
      <c r="J159" s="12" t="str">
        <f t="shared" si="13"/>
        <v/>
      </c>
      <c r="K159" s="12" t="str">
        <f t="shared" si="14"/>
        <v/>
      </c>
      <c r="L159" s="10" t="str">
        <f>IF(Инвентаризация!C159="","",Инвентаризация!M159)</f>
        <v/>
      </c>
      <c r="M159" s="10" t="str">
        <f>IF(Инвентаризация!C159="","",Инвентаризация!N159)</f>
        <v/>
      </c>
      <c r="N159" s="10" t="str">
        <f>IF(Инвентаризация!C159="","",Инвентаризация!O159)</f>
        <v/>
      </c>
      <c r="O159" s="10" t="str">
        <f>IF(Инвентаризация!C159="","",Инвентаризация!P159)</f>
        <v/>
      </c>
      <c r="P159" s="8" t="str">
        <f>IF(Инвентаризация!C159="","",Инвентаризация!Q159)</f>
        <v/>
      </c>
    </row>
    <row r="160" spans="1:16">
      <c r="A160" s="10" t="str">
        <f>IF(Инвентаризация!C160="","",Инвентаризация!B160)</f>
        <v/>
      </c>
      <c r="B160" s="10" t="str">
        <f>IF(Инвентаризация!C160="","",Инвентаризация!C160)</f>
        <v/>
      </c>
      <c r="C160" s="5" t="str">
        <f>IF(Инвентаризация!C160="","",Инвентаризация!D160)</f>
        <v/>
      </c>
      <c r="D160" s="11" t="str">
        <f>IF(Инвентаризация!C160="","",Инвентаризация!E160)</f>
        <v/>
      </c>
      <c r="E160" s="12" t="str">
        <f>IF(Инвентаризация!C160="","",Инвентаризация!F160)</f>
        <v/>
      </c>
      <c r="F160" s="12" t="str">
        <f>IF(Инвентаризация!C160="","",Инвентаризация!G160)</f>
        <v/>
      </c>
      <c r="G160" s="12" t="str">
        <f t="shared" si="10"/>
        <v/>
      </c>
      <c r="H160" s="13" t="str">
        <f t="shared" si="11"/>
        <v/>
      </c>
      <c r="I160" s="12" t="str">
        <f t="shared" si="12"/>
        <v/>
      </c>
      <c r="J160" s="12" t="str">
        <f t="shared" si="13"/>
        <v/>
      </c>
      <c r="K160" s="12" t="str">
        <f t="shared" si="14"/>
        <v/>
      </c>
      <c r="L160" s="10" t="str">
        <f>IF(Инвентаризация!C160="","",Инвентаризация!M160)</f>
        <v/>
      </c>
      <c r="M160" s="10" t="str">
        <f>IF(Инвентаризация!C160="","",Инвентаризация!N160)</f>
        <v/>
      </c>
      <c r="N160" s="10" t="str">
        <f>IF(Инвентаризация!C160="","",Инвентаризация!O160)</f>
        <v/>
      </c>
      <c r="O160" s="10" t="str">
        <f>IF(Инвентаризация!C160="","",Инвентаризация!P160)</f>
        <v/>
      </c>
      <c r="P160" s="8" t="str">
        <f>IF(Инвентаризация!C160="","",Инвентаризация!Q160)</f>
        <v/>
      </c>
    </row>
    <row r="161" spans="1:16">
      <c r="A161" s="10" t="str">
        <f>IF(Инвентаризация!C161="","",Инвентаризация!B161)</f>
        <v/>
      </c>
      <c r="B161" s="10" t="str">
        <f>IF(Инвентаризация!C161="","",Инвентаризация!C161)</f>
        <v/>
      </c>
      <c r="C161" s="5" t="str">
        <f>IF(Инвентаризация!C161="","",Инвентаризация!D161)</f>
        <v/>
      </c>
      <c r="D161" s="11" t="str">
        <f>IF(Инвентаризация!C161="","",Инвентаризация!E161)</f>
        <v/>
      </c>
      <c r="E161" s="12" t="str">
        <f>IF(Инвентаризация!C161="","",Инвентаризация!F161)</f>
        <v/>
      </c>
      <c r="F161" s="12" t="str">
        <f>IF(Инвентаризация!C161="","",Инвентаризация!G161)</f>
        <v/>
      </c>
      <c r="G161" s="12" t="str">
        <f t="shared" si="10"/>
        <v/>
      </c>
      <c r="H161" s="13" t="str">
        <f t="shared" si="11"/>
        <v/>
      </c>
      <c r="I161" s="12" t="str">
        <f t="shared" si="12"/>
        <v/>
      </c>
      <c r="J161" s="12" t="str">
        <f t="shared" si="13"/>
        <v/>
      </c>
      <c r="K161" s="12" t="str">
        <f t="shared" si="14"/>
        <v/>
      </c>
      <c r="L161" s="10" t="str">
        <f>IF(Инвентаризация!C161="","",Инвентаризация!M161)</f>
        <v/>
      </c>
      <c r="M161" s="10" t="str">
        <f>IF(Инвентаризация!C161="","",Инвентаризация!N161)</f>
        <v/>
      </c>
      <c r="N161" s="10" t="str">
        <f>IF(Инвентаризация!C161="","",Инвентаризация!O161)</f>
        <v/>
      </c>
      <c r="O161" s="10" t="str">
        <f>IF(Инвентаризация!C161="","",Инвентаризация!P161)</f>
        <v/>
      </c>
      <c r="P161" s="8" t="str">
        <f>IF(Инвентаризация!C161="","",Инвентаризация!Q161)</f>
        <v/>
      </c>
    </row>
    <row r="162" spans="1:16">
      <c r="A162" s="10" t="str">
        <f>IF(Инвентаризация!C162="","",Инвентаризация!B162)</f>
        <v/>
      </c>
      <c r="B162" s="10" t="str">
        <f>IF(Инвентаризация!C162="","",Инвентаризация!C162)</f>
        <v/>
      </c>
      <c r="C162" s="5" t="str">
        <f>IF(Инвентаризация!C162="","",Инвентаризация!D162)</f>
        <v/>
      </c>
      <c r="D162" s="11" t="str">
        <f>IF(Инвентаризация!C162="","",Инвентаризация!E162)</f>
        <v/>
      </c>
      <c r="E162" s="12" t="str">
        <f>IF(Инвентаризация!C162="","",Инвентаризация!F162)</f>
        <v/>
      </c>
      <c r="F162" s="12" t="str">
        <f>IF(Инвентаризация!C162="","",Инвентаризация!G162)</f>
        <v/>
      </c>
      <c r="G162" s="12" t="str">
        <f t="shared" si="10"/>
        <v/>
      </c>
      <c r="H162" s="13" t="str">
        <f t="shared" si="11"/>
        <v/>
      </c>
      <c r="I162" s="12" t="str">
        <f t="shared" si="12"/>
        <v/>
      </c>
      <c r="J162" s="12" t="str">
        <f t="shared" si="13"/>
        <v/>
      </c>
      <c r="K162" s="12" t="str">
        <f t="shared" si="14"/>
        <v/>
      </c>
      <c r="L162" s="10" t="str">
        <f>IF(Инвентаризация!C162="","",Инвентаризация!M162)</f>
        <v/>
      </c>
      <c r="M162" s="10" t="str">
        <f>IF(Инвентаризация!C162="","",Инвентаризация!N162)</f>
        <v/>
      </c>
      <c r="N162" s="10" t="str">
        <f>IF(Инвентаризация!C162="","",Инвентаризация!O162)</f>
        <v/>
      </c>
      <c r="O162" s="10" t="str">
        <f>IF(Инвентаризация!C162="","",Инвентаризация!P162)</f>
        <v/>
      </c>
      <c r="P162" s="8" t="str">
        <f>IF(Инвентаризация!C162="","",Инвентаризация!Q162)</f>
        <v/>
      </c>
    </row>
    <row r="163" spans="1:16">
      <c r="A163" s="10" t="str">
        <f>IF(Инвентаризация!C163="","",Инвентаризация!B163)</f>
        <v/>
      </c>
      <c r="B163" s="10" t="str">
        <f>IF(Инвентаризация!C163="","",Инвентаризация!C163)</f>
        <v/>
      </c>
      <c r="C163" s="5" t="str">
        <f>IF(Инвентаризация!C163="","",Инвентаризация!D163)</f>
        <v/>
      </c>
      <c r="D163" s="11" t="str">
        <f>IF(Инвентаризация!C163="","",Инвентаризация!E163)</f>
        <v/>
      </c>
      <c r="E163" s="12" t="str">
        <f>IF(Инвентаризация!C163="","",Инвентаризация!F163)</f>
        <v/>
      </c>
      <c r="F163" s="12" t="str">
        <f>IF(Инвентаризация!C163="","",Инвентаризация!G163)</f>
        <v/>
      </c>
      <c r="G163" s="12" t="str">
        <f t="shared" si="10"/>
        <v/>
      </c>
      <c r="H163" s="13" t="str">
        <f t="shared" si="11"/>
        <v/>
      </c>
      <c r="I163" s="12" t="str">
        <f t="shared" si="12"/>
        <v/>
      </c>
      <c r="J163" s="12" t="str">
        <f t="shared" si="13"/>
        <v/>
      </c>
      <c r="K163" s="12" t="str">
        <f t="shared" si="14"/>
        <v/>
      </c>
      <c r="L163" s="10" t="str">
        <f>IF(Инвентаризация!C163="","",Инвентаризация!M163)</f>
        <v/>
      </c>
      <c r="M163" s="10" t="str">
        <f>IF(Инвентаризация!C163="","",Инвентаризация!N163)</f>
        <v/>
      </c>
      <c r="N163" s="10" t="str">
        <f>IF(Инвентаризация!C163="","",Инвентаризация!O163)</f>
        <v/>
      </c>
      <c r="O163" s="10" t="str">
        <f>IF(Инвентаризация!C163="","",Инвентаризация!P163)</f>
        <v/>
      </c>
      <c r="P163" s="8" t="str">
        <f>IF(Инвентаризация!C163="","",Инвентаризация!Q163)</f>
        <v/>
      </c>
    </row>
    <row r="164" spans="1:16">
      <c r="A164" s="10" t="str">
        <f>IF(Инвентаризация!C164="","",Инвентаризация!B164)</f>
        <v/>
      </c>
      <c r="B164" s="10" t="str">
        <f>IF(Инвентаризация!C164="","",Инвентаризация!C164)</f>
        <v/>
      </c>
      <c r="C164" s="5" t="str">
        <f>IF(Инвентаризация!C164="","",Инвентаризация!D164)</f>
        <v/>
      </c>
      <c r="D164" s="11" t="str">
        <f>IF(Инвентаризация!C164="","",Инвентаризация!E164)</f>
        <v/>
      </c>
      <c r="E164" s="12" t="str">
        <f>IF(Инвентаризация!C164="","",Инвентаризация!F164)</f>
        <v/>
      </c>
      <c r="F164" s="12" t="str">
        <f>IF(Инвентаризация!C164="","",Инвентаризация!G164)</f>
        <v/>
      </c>
      <c r="G164" s="12" t="str">
        <f t="shared" si="10"/>
        <v/>
      </c>
      <c r="H164" s="13" t="str">
        <f t="shared" si="11"/>
        <v/>
      </c>
      <c r="I164" s="12" t="str">
        <f t="shared" si="12"/>
        <v/>
      </c>
      <c r="J164" s="12" t="str">
        <f t="shared" si="13"/>
        <v/>
      </c>
      <c r="K164" s="12" t="str">
        <f t="shared" si="14"/>
        <v/>
      </c>
      <c r="L164" s="10" t="str">
        <f>IF(Инвентаризация!C164="","",Инвентаризация!M164)</f>
        <v/>
      </c>
      <c r="M164" s="10" t="str">
        <f>IF(Инвентаризация!C164="","",Инвентаризация!N164)</f>
        <v/>
      </c>
      <c r="N164" s="10" t="str">
        <f>IF(Инвентаризация!C164="","",Инвентаризация!O164)</f>
        <v/>
      </c>
      <c r="O164" s="10" t="str">
        <f>IF(Инвентаризация!C164="","",Инвентаризация!P164)</f>
        <v/>
      </c>
      <c r="P164" s="8" t="str">
        <f>IF(Инвентаризация!C164="","",Инвентаризация!Q164)</f>
        <v/>
      </c>
    </row>
    <row r="165" spans="1:16">
      <c r="A165" s="10" t="str">
        <f>IF(Инвентаризация!C165="","",Инвентаризация!B165)</f>
        <v/>
      </c>
      <c r="B165" s="10" t="str">
        <f>IF(Инвентаризация!C165="","",Инвентаризация!C165)</f>
        <v/>
      </c>
      <c r="C165" s="5" t="str">
        <f>IF(Инвентаризация!C165="","",Инвентаризация!D165)</f>
        <v/>
      </c>
      <c r="D165" s="11" t="str">
        <f>IF(Инвентаризация!C165="","",Инвентаризация!E165)</f>
        <v/>
      </c>
      <c r="E165" s="12" t="str">
        <f>IF(Инвентаризация!C165="","",Инвентаризация!F165)</f>
        <v/>
      </c>
      <c r="F165" s="12" t="str">
        <f>IF(Инвентаризация!C165="","",Инвентаризация!G165)</f>
        <v/>
      </c>
      <c r="G165" s="12" t="str">
        <f t="shared" si="10"/>
        <v/>
      </c>
      <c r="H165" s="13" t="str">
        <f t="shared" si="11"/>
        <v/>
      </c>
      <c r="I165" s="12" t="str">
        <f t="shared" si="12"/>
        <v/>
      </c>
      <c r="J165" s="12" t="str">
        <f t="shared" si="13"/>
        <v/>
      </c>
      <c r="K165" s="12" t="str">
        <f t="shared" si="14"/>
        <v/>
      </c>
      <c r="L165" s="10" t="str">
        <f>IF(Инвентаризация!C165="","",Инвентаризация!M165)</f>
        <v/>
      </c>
      <c r="M165" s="10" t="str">
        <f>IF(Инвентаризация!C165="","",Инвентаризация!N165)</f>
        <v/>
      </c>
      <c r="N165" s="10" t="str">
        <f>IF(Инвентаризация!C165="","",Инвентаризация!O165)</f>
        <v/>
      </c>
      <c r="O165" s="10" t="str">
        <f>IF(Инвентаризация!C165="","",Инвентаризация!P165)</f>
        <v/>
      </c>
      <c r="P165" s="8" t="str">
        <f>IF(Инвентаризация!C165="","",Инвентаризация!Q165)</f>
        <v/>
      </c>
    </row>
    <row r="166" spans="1:16">
      <c r="A166" s="10" t="str">
        <f>IF(Инвентаризация!C166="","",Инвентаризация!B166)</f>
        <v/>
      </c>
      <c r="B166" s="10" t="str">
        <f>IF(Инвентаризация!C166="","",Инвентаризация!C166)</f>
        <v/>
      </c>
      <c r="C166" s="5" t="str">
        <f>IF(Инвентаризация!C166="","",Инвентаризация!D166)</f>
        <v/>
      </c>
      <c r="D166" s="11" t="str">
        <f>IF(Инвентаризация!C166="","",Инвентаризация!E166)</f>
        <v/>
      </c>
      <c r="E166" s="12" t="str">
        <f>IF(Инвентаризация!C166="","",Инвентаризация!F166)</f>
        <v/>
      </c>
      <c r="F166" s="12" t="str">
        <f>IF(Инвентаризация!C166="","",Инвентаризация!G166)</f>
        <v/>
      </c>
      <c r="G166" s="12" t="str">
        <f t="shared" si="10"/>
        <v/>
      </c>
      <c r="H166" s="13" t="str">
        <f t="shared" si="11"/>
        <v/>
      </c>
      <c r="I166" s="12" t="str">
        <f t="shared" si="12"/>
        <v/>
      </c>
      <c r="J166" s="12" t="str">
        <f t="shared" si="13"/>
        <v/>
      </c>
      <c r="K166" s="12" t="str">
        <f t="shared" si="14"/>
        <v/>
      </c>
      <c r="L166" s="10" t="str">
        <f>IF(Инвентаризация!C166="","",Инвентаризация!M166)</f>
        <v/>
      </c>
      <c r="M166" s="10" t="str">
        <f>IF(Инвентаризация!C166="","",Инвентаризация!N166)</f>
        <v/>
      </c>
      <c r="N166" s="10" t="str">
        <f>IF(Инвентаризация!C166="","",Инвентаризация!O166)</f>
        <v/>
      </c>
      <c r="O166" s="10" t="str">
        <f>IF(Инвентаризация!C166="","",Инвентаризация!P166)</f>
        <v/>
      </c>
      <c r="P166" s="8" t="str">
        <f>IF(Инвентаризация!C166="","",Инвентаризация!Q166)</f>
        <v/>
      </c>
    </row>
    <row r="167" spans="1:16">
      <c r="A167" s="10" t="str">
        <f>IF(Инвентаризация!C167="","",Инвентаризация!B167)</f>
        <v/>
      </c>
      <c r="B167" s="10" t="str">
        <f>IF(Инвентаризация!C167="","",Инвентаризация!C167)</f>
        <v/>
      </c>
      <c r="C167" s="5" t="str">
        <f>IF(Инвентаризация!C167="","",Инвентаризация!D167)</f>
        <v/>
      </c>
      <c r="D167" s="11" t="str">
        <f>IF(Инвентаризация!C167="","",Инвентаризация!E167)</f>
        <v/>
      </c>
      <c r="E167" s="12" t="str">
        <f>IF(Инвентаризация!C167="","",Инвентаризация!F167)</f>
        <v/>
      </c>
      <c r="F167" s="12" t="str">
        <f>IF(Инвентаризация!C167="","",Инвентаризация!G167)</f>
        <v/>
      </c>
      <c r="G167" s="12" t="str">
        <f t="shared" si="10"/>
        <v/>
      </c>
      <c r="H167" s="13" t="str">
        <f t="shared" si="11"/>
        <v/>
      </c>
      <c r="I167" s="12" t="str">
        <f t="shared" si="12"/>
        <v/>
      </c>
      <c r="J167" s="12" t="str">
        <f t="shared" si="13"/>
        <v/>
      </c>
      <c r="K167" s="12" t="str">
        <f t="shared" si="14"/>
        <v/>
      </c>
      <c r="L167" s="10" t="str">
        <f>IF(Инвентаризация!C167="","",Инвентаризация!M167)</f>
        <v/>
      </c>
      <c r="M167" s="10" t="str">
        <f>IF(Инвентаризация!C167="","",Инвентаризация!N167)</f>
        <v/>
      </c>
      <c r="N167" s="10" t="str">
        <f>IF(Инвентаризация!C167="","",Инвентаризация!O167)</f>
        <v/>
      </c>
      <c r="O167" s="10" t="str">
        <f>IF(Инвентаризация!C167="","",Инвентаризация!P167)</f>
        <v/>
      </c>
      <c r="P167" s="8" t="str">
        <f>IF(Инвентаризация!C167="","",Инвентаризация!Q167)</f>
        <v/>
      </c>
    </row>
    <row r="168" spans="1:16">
      <c r="A168" s="10" t="str">
        <f>IF(Инвентаризация!C168="","",Инвентаризация!B168)</f>
        <v/>
      </c>
      <c r="B168" s="10" t="str">
        <f>IF(Инвентаризация!C168="","",Инвентаризация!C168)</f>
        <v/>
      </c>
      <c r="C168" s="5" t="str">
        <f>IF(Инвентаризация!C168="","",Инвентаризация!D168)</f>
        <v/>
      </c>
      <c r="D168" s="11" t="str">
        <f>IF(Инвентаризация!C168="","",Инвентаризация!E168)</f>
        <v/>
      </c>
      <c r="E168" s="12" t="str">
        <f>IF(Инвентаризация!C168="","",Инвентаризация!F168)</f>
        <v/>
      </c>
      <c r="F168" s="12" t="str">
        <f>IF(Инвентаризация!C168="","",Инвентаризация!G168)</f>
        <v/>
      </c>
      <c r="G168" s="12" t="str">
        <f t="shared" si="10"/>
        <v/>
      </c>
      <c r="H168" s="13" t="str">
        <f t="shared" si="11"/>
        <v/>
      </c>
      <c r="I168" s="12" t="str">
        <f t="shared" si="12"/>
        <v/>
      </c>
      <c r="J168" s="12" t="str">
        <f t="shared" si="13"/>
        <v/>
      </c>
      <c r="K168" s="12" t="str">
        <f t="shared" si="14"/>
        <v/>
      </c>
      <c r="L168" s="10" t="str">
        <f>IF(Инвентаризация!C168="","",Инвентаризация!M168)</f>
        <v/>
      </c>
      <c r="M168" s="10" t="str">
        <f>IF(Инвентаризация!C168="","",Инвентаризация!N168)</f>
        <v/>
      </c>
      <c r="N168" s="10" t="str">
        <f>IF(Инвентаризация!C168="","",Инвентаризация!O168)</f>
        <v/>
      </c>
      <c r="O168" s="10" t="str">
        <f>IF(Инвентаризация!C168="","",Инвентаризация!P168)</f>
        <v/>
      </c>
      <c r="P168" s="8" t="str">
        <f>IF(Инвентаризация!C168="","",Инвентаризация!Q168)</f>
        <v/>
      </c>
    </row>
    <row r="169" spans="1:16">
      <c r="A169" s="10" t="str">
        <f>IF(Инвентаризация!C169="","",Инвентаризация!B169)</f>
        <v/>
      </c>
      <c r="B169" s="10" t="str">
        <f>IF(Инвентаризация!C169="","",Инвентаризация!C169)</f>
        <v/>
      </c>
      <c r="C169" s="5" t="str">
        <f>IF(Инвентаризация!C169="","",Инвентаризация!D169)</f>
        <v/>
      </c>
      <c r="D169" s="11" t="str">
        <f>IF(Инвентаризация!C169="","",Инвентаризация!E169)</f>
        <v/>
      </c>
      <c r="E169" s="12" t="str">
        <f>IF(Инвентаризация!C169="","",Инвентаризация!F169)</f>
        <v/>
      </c>
      <c r="F169" s="12" t="str">
        <f>IF(Инвентаризация!C169="","",Инвентаризация!G169)</f>
        <v/>
      </c>
      <c r="G169" s="12" t="str">
        <f t="shared" si="10"/>
        <v/>
      </c>
      <c r="H169" s="13" t="str">
        <f t="shared" si="11"/>
        <v/>
      </c>
      <c r="I169" s="12" t="str">
        <f t="shared" si="12"/>
        <v/>
      </c>
      <c r="J169" s="12" t="str">
        <f t="shared" si="13"/>
        <v/>
      </c>
      <c r="K169" s="12" t="str">
        <f t="shared" si="14"/>
        <v/>
      </c>
      <c r="L169" s="10" t="str">
        <f>IF(Инвентаризация!C169="","",Инвентаризация!M169)</f>
        <v/>
      </c>
      <c r="M169" s="10" t="str">
        <f>IF(Инвентаризация!C169="","",Инвентаризация!N169)</f>
        <v/>
      </c>
      <c r="N169" s="10" t="str">
        <f>IF(Инвентаризация!C169="","",Инвентаризация!O169)</f>
        <v/>
      </c>
      <c r="O169" s="10" t="str">
        <f>IF(Инвентаризация!C169="","",Инвентаризация!P169)</f>
        <v/>
      </c>
      <c r="P169" s="8" t="str">
        <f>IF(Инвентаризация!C169="","",Инвентаризация!Q169)</f>
        <v/>
      </c>
    </row>
    <row r="170" spans="1:16">
      <c r="A170" s="10" t="str">
        <f>IF(Инвентаризация!C170="","",Инвентаризация!B170)</f>
        <v/>
      </c>
      <c r="B170" s="10" t="str">
        <f>IF(Инвентаризация!C170="","",Инвентаризация!C170)</f>
        <v/>
      </c>
      <c r="C170" s="5" t="str">
        <f>IF(Инвентаризация!C170="","",Инвентаризация!D170)</f>
        <v/>
      </c>
      <c r="D170" s="11" t="str">
        <f>IF(Инвентаризация!C170="","",Инвентаризация!E170)</f>
        <v/>
      </c>
      <c r="E170" s="12" t="str">
        <f>IF(Инвентаризация!C170="","",Инвентаризация!F170)</f>
        <v/>
      </c>
      <c r="F170" s="12" t="str">
        <f>IF(Инвентаризация!C170="","",Инвентаризация!G170)</f>
        <v/>
      </c>
      <c r="G170" s="12" t="str">
        <f t="shared" si="10"/>
        <v/>
      </c>
      <c r="H170" s="13" t="str">
        <f t="shared" si="11"/>
        <v/>
      </c>
      <c r="I170" s="12" t="str">
        <f t="shared" si="12"/>
        <v/>
      </c>
      <c r="J170" s="12" t="str">
        <f t="shared" si="13"/>
        <v/>
      </c>
      <c r="K170" s="12" t="str">
        <f t="shared" si="14"/>
        <v/>
      </c>
      <c r="L170" s="10" t="str">
        <f>IF(Инвентаризация!C170="","",Инвентаризация!M170)</f>
        <v/>
      </c>
      <c r="M170" s="10" t="str">
        <f>IF(Инвентаризация!C170="","",Инвентаризация!N170)</f>
        <v/>
      </c>
      <c r="N170" s="10" t="str">
        <f>IF(Инвентаризация!C170="","",Инвентаризация!O170)</f>
        <v/>
      </c>
      <c r="O170" s="10" t="str">
        <f>IF(Инвентаризация!C170="","",Инвентаризация!P170)</f>
        <v/>
      </c>
      <c r="P170" s="8" t="str">
        <f>IF(Инвентаризация!C170="","",Инвентаризация!Q170)</f>
        <v/>
      </c>
    </row>
    <row r="171" spans="1:16">
      <c r="A171" s="10" t="str">
        <f>IF(Инвентаризация!C171="","",Инвентаризация!B171)</f>
        <v/>
      </c>
      <c r="B171" s="10" t="str">
        <f>IF(Инвентаризация!C171="","",Инвентаризация!C171)</f>
        <v/>
      </c>
      <c r="C171" s="5" t="str">
        <f>IF(Инвентаризация!C171="","",Инвентаризация!D171)</f>
        <v/>
      </c>
      <c r="D171" s="11" t="str">
        <f>IF(Инвентаризация!C171="","",Инвентаризация!E171)</f>
        <v/>
      </c>
      <c r="E171" s="12" t="str">
        <f>IF(Инвентаризация!C171="","",Инвентаризация!F171)</f>
        <v/>
      </c>
      <c r="F171" s="12" t="str">
        <f>IF(Инвентаризация!C171="","",Инвентаризация!G171)</f>
        <v/>
      </c>
      <c r="G171" s="12" t="str">
        <f t="shared" si="10"/>
        <v/>
      </c>
      <c r="H171" s="13" t="str">
        <f t="shared" si="11"/>
        <v/>
      </c>
      <c r="I171" s="12" t="str">
        <f t="shared" si="12"/>
        <v/>
      </c>
      <c r="J171" s="12" t="str">
        <f t="shared" si="13"/>
        <v/>
      </c>
      <c r="K171" s="12" t="str">
        <f t="shared" si="14"/>
        <v/>
      </c>
      <c r="L171" s="10" t="str">
        <f>IF(Инвентаризация!C171="","",Инвентаризация!M171)</f>
        <v/>
      </c>
      <c r="M171" s="10" t="str">
        <f>IF(Инвентаризация!C171="","",Инвентаризация!N171)</f>
        <v/>
      </c>
      <c r="N171" s="10" t="str">
        <f>IF(Инвентаризация!C171="","",Инвентаризация!O171)</f>
        <v/>
      </c>
      <c r="O171" s="10" t="str">
        <f>IF(Инвентаризация!C171="","",Инвентаризация!P171)</f>
        <v/>
      </c>
      <c r="P171" s="8" t="str">
        <f>IF(Инвентаризация!C171="","",Инвентаризация!Q171)</f>
        <v/>
      </c>
    </row>
    <row r="172" spans="1:16">
      <c r="A172" s="10" t="str">
        <f>IF(Инвентаризация!C172="","",Инвентаризация!B172)</f>
        <v/>
      </c>
      <c r="B172" s="10" t="str">
        <f>IF(Инвентаризация!C172="","",Инвентаризация!C172)</f>
        <v/>
      </c>
      <c r="C172" s="5" t="str">
        <f>IF(Инвентаризация!C172="","",Инвентаризация!D172)</f>
        <v/>
      </c>
      <c r="D172" s="11" t="str">
        <f>IF(Инвентаризация!C172="","",Инвентаризация!E172)</f>
        <v/>
      </c>
      <c r="E172" s="12" t="str">
        <f>IF(Инвентаризация!C172="","",Инвентаризация!F172)</f>
        <v/>
      </c>
      <c r="F172" s="12" t="str">
        <f>IF(Инвентаризация!C172="","",Инвентаризация!G172)</f>
        <v/>
      </c>
      <c r="G172" s="12" t="str">
        <f t="shared" si="10"/>
        <v/>
      </c>
      <c r="H172" s="13" t="str">
        <f t="shared" si="11"/>
        <v/>
      </c>
      <c r="I172" s="12" t="str">
        <f t="shared" si="12"/>
        <v/>
      </c>
      <c r="J172" s="12" t="str">
        <f t="shared" si="13"/>
        <v/>
      </c>
      <c r="K172" s="12" t="str">
        <f t="shared" si="14"/>
        <v/>
      </c>
      <c r="L172" s="10" t="str">
        <f>IF(Инвентаризация!C172="","",Инвентаризация!M172)</f>
        <v/>
      </c>
      <c r="M172" s="10" t="str">
        <f>IF(Инвентаризация!C172="","",Инвентаризация!N172)</f>
        <v/>
      </c>
      <c r="N172" s="10" t="str">
        <f>IF(Инвентаризация!C172="","",Инвентаризация!O172)</f>
        <v/>
      </c>
      <c r="O172" s="10" t="str">
        <f>IF(Инвентаризация!C172="","",Инвентаризация!P172)</f>
        <v/>
      </c>
      <c r="P172" s="8" t="str">
        <f>IF(Инвентаризация!C172="","",Инвентаризация!Q172)</f>
        <v/>
      </c>
    </row>
    <row r="173" spans="1:16">
      <c r="A173" s="10" t="str">
        <f>IF(Инвентаризация!C173="","",Инвентаризация!B173)</f>
        <v/>
      </c>
      <c r="B173" s="10" t="str">
        <f>IF(Инвентаризация!C173="","",Инвентаризация!C173)</f>
        <v/>
      </c>
      <c r="C173" s="5" t="str">
        <f>IF(Инвентаризация!C173="","",Инвентаризация!D173)</f>
        <v/>
      </c>
      <c r="D173" s="11" t="str">
        <f>IF(Инвентаризация!C173="","",Инвентаризация!E173)</f>
        <v/>
      </c>
      <c r="E173" s="12" t="str">
        <f>IF(Инвентаризация!C173="","",Инвентаризация!F173)</f>
        <v/>
      </c>
      <c r="F173" s="12" t="str">
        <f>IF(Инвентаризация!C173="","",Инвентаризация!G173)</f>
        <v/>
      </c>
      <c r="G173" s="12" t="str">
        <f t="shared" si="10"/>
        <v/>
      </c>
      <c r="H173" s="13" t="str">
        <f t="shared" si="11"/>
        <v/>
      </c>
      <c r="I173" s="12" t="str">
        <f t="shared" si="12"/>
        <v/>
      </c>
      <c r="J173" s="12" t="str">
        <f t="shared" si="13"/>
        <v/>
      </c>
      <c r="K173" s="12" t="str">
        <f t="shared" si="14"/>
        <v/>
      </c>
      <c r="L173" s="10" t="str">
        <f>IF(Инвентаризация!C173="","",Инвентаризация!M173)</f>
        <v/>
      </c>
      <c r="M173" s="10" t="str">
        <f>IF(Инвентаризация!C173="","",Инвентаризация!N173)</f>
        <v/>
      </c>
      <c r="N173" s="10" t="str">
        <f>IF(Инвентаризация!C173="","",Инвентаризация!O173)</f>
        <v/>
      </c>
      <c r="O173" s="10" t="str">
        <f>IF(Инвентаризация!C173="","",Инвентаризация!P173)</f>
        <v/>
      </c>
      <c r="P173" s="8" t="str">
        <f>IF(Инвентаризация!C173="","",Инвентаризация!Q173)</f>
        <v/>
      </c>
    </row>
    <row r="174" spans="1:16">
      <c r="A174" s="10" t="str">
        <f>IF(Инвентаризация!C174="","",Инвентаризация!B174)</f>
        <v/>
      </c>
      <c r="B174" s="10" t="str">
        <f>IF(Инвентаризация!C174="","",Инвентаризация!C174)</f>
        <v/>
      </c>
      <c r="C174" s="5" t="str">
        <f>IF(Инвентаризация!C174="","",Инвентаризация!D174)</f>
        <v/>
      </c>
      <c r="D174" s="11" t="str">
        <f>IF(Инвентаризация!C174="","",Инвентаризация!E174)</f>
        <v/>
      </c>
      <c r="E174" s="12" t="str">
        <f>IF(Инвентаризация!C174="","",Инвентаризация!F174)</f>
        <v/>
      </c>
      <c r="F174" s="12" t="str">
        <f>IF(Инвентаризация!C174="","",Инвентаризация!G174)</f>
        <v/>
      </c>
      <c r="G174" s="12" t="str">
        <f t="shared" si="10"/>
        <v/>
      </c>
      <c r="H174" s="13" t="str">
        <f t="shared" si="11"/>
        <v/>
      </c>
      <c r="I174" s="12" t="str">
        <f t="shared" si="12"/>
        <v/>
      </c>
      <c r="J174" s="12" t="str">
        <f t="shared" si="13"/>
        <v/>
      </c>
      <c r="K174" s="12" t="str">
        <f t="shared" si="14"/>
        <v/>
      </c>
      <c r="L174" s="10" t="str">
        <f>IF(Инвентаризация!C174="","",Инвентаризация!M174)</f>
        <v/>
      </c>
      <c r="M174" s="10" t="str">
        <f>IF(Инвентаризация!C174="","",Инвентаризация!N174)</f>
        <v/>
      </c>
      <c r="N174" s="10" t="str">
        <f>IF(Инвентаризация!C174="","",Инвентаризация!O174)</f>
        <v/>
      </c>
      <c r="O174" s="10" t="str">
        <f>IF(Инвентаризация!C174="","",Инвентаризация!P174)</f>
        <v/>
      </c>
      <c r="P174" s="8" t="str">
        <f>IF(Инвентаризация!C174="","",Инвентаризация!Q174)</f>
        <v/>
      </c>
    </row>
    <row r="175" spans="1:16">
      <c r="A175" s="10" t="str">
        <f>IF(Инвентаризация!C175="","",Инвентаризация!B175)</f>
        <v/>
      </c>
      <c r="B175" s="10" t="str">
        <f>IF(Инвентаризация!C175="","",Инвентаризация!C175)</f>
        <v/>
      </c>
      <c r="C175" s="5" t="str">
        <f>IF(Инвентаризация!C175="","",Инвентаризация!D175)</f>
        <v/>
      </c>
      <c r="D175" s="11" t="str">
        <f>IF(Инвентаризация!C175="","",Инвентаризация!E175)</f>
        <v/>
      </c>
      <c r="E175" s="12" t="str">
        <f>IF(Инвентаризация!C175="","",Инвентаризация!F175)</f>
        <v/>
      </c>
      <c r="F175" s="12" t="str">
        <f>IF(Инвентаризация!C175="","",Инвентаризация!G175)</f>
        <v/>
      </c>
      <c r="G175" s="12" t="str">
        <f t="shared" si="10"/>
        <v/>
      </c>
      <c r="H175" s="13" t="str">
        <f t="shared" si="11"/>
        <v/>
      </c>
      <c r="I175" s="12" t="str">
        <f t="shared" si="12"/>
        <v/>
      </c>
      <c r="J175" s="12" t="str">
        <f t="shared" si="13"/>
        <v/>
      </c>
      <c r="K175" s="12" t="str">
        <f t="shared" si="14"/>
        <v/>
      </c>
      <c r="L175" s="10" t="str">
        <f>IF(Инвентаризация!C175="","",Инвентаризация!M175)</f>
        <v/>
      </c>
      <c r="M175" s="10" t="str">
        <f>IF(Инвентаризация!C175="","",Инвентаризация!N175)</f>
        <v/>
      </c>
      <c r="N175" s="10" t="str">
        <f>IF(Инвентаризация!C175="","",Инвентаризация!O175)</f>
        <v/>
      </c>
      <c r="O175" s="10" t="str">
        <f>IF(Инвентаризация!C175="","",Инвентаризация!P175)</f>
        <v/>
      </c>
      <c r="P175" s="8" t="str">
        <f>IF(Инвентаризация!C175="","",Инвентаризация!Q175)</f>
        <v/>
      </c>
    </row>
    <row r="176" spans="1:16">
      <c r="A176" s="10" t="str">
        <f>IF(Инвентаризация!C176="","",Инвентаризация!B176)</f>
        <v/>
      </c>
      <c r="B176" s="10" t="str">
        <f>IF(Инвентаризация!C176="","",Инвентаризация!C176)</f>
        <v/>
      </c>
      <c r="C176" s="5" t="str">
        <f>IF(Инвентаризация!C176="","",Инвентаризация!D176)</f>
        <v/>
      </c>
      <c r="D176" s="11" t="str">
        <f>IF(Инвентаризация!C176="","",Инвентаризация!E176)</f>
        <v/>
      </c>
      <c r="E176" s="12" t="str">
        <f>IF(Инвентаризация!C176="","",Инвентаризация!F176)</f>
        <v/>
      </c>
      <c r="F176" s="12" t="str">
        <f>IF(Инвентаризация!C176="","",Инвентаризация!G176)</f>
        <v/>
      </c>
      <c r="G176" s="12" t="str">
        <f t="shared" si="10"/>
        <v/>
      </c>
      <c r="H176" s="13" t="str">
        <f t="shared" si="11"/>
        <v/>
      </c>
      <c r="I176" s="12" t="str">
        <f t="shared" si="12"/>
        <v/>
      </c>
      <c r="J176" s="12" t="str">
        <f t="shared" si="13"/>
        <v/>
      </c>
      <c r="K176" s="12" t="str">
        <f t="shared" si="14"/>
        <v/>
      </c>
      <c r="L176" s="10" t="str">
        <f>IF(Инвентаризация!C176="","",Инвентаризация!M176)</f>
        <v/>
      </c>
      <c r="M176" s="10" t="str">
        <f>IF(Инвентаризация!C176="","",Инвентаризация!N176)</f>
        <v/>
      </c>
      <c r="N176" s="10" t="str">
        <f>IF(Инвентаризация!C176="","",Инвентаризация!O176)</f>
        <v/>
      </c>
      <c r="O176" s="10" t="str">
        <f>IF(Инвентаризация!C176="","",Инвентаризация!P176)</f>
        <v/>
      </c>
      <c r="P176" s="8" t="str">
        <f>IF(Инвентаризация!C176="","",Инвентаризация!Q176)</f>
        <v/>
      </c>
    </row>
    <row r="177" spans="1:16">
      <c r="A177" s="10" t="str">
        <f>IF(Инвентаризация!C177="","",Инвентаризация!B177)</f>
        <v/>
      </c>
      <c r="B177" s="10" t="str">
        <f>IF(Инвентаризация!C177="","",Инвентаризация!C177)</f>
        <v/>
      </c>
      <c r="C177" s="5" t="str">
        <f>IF(Инвентаризация!C177="","",Инвентаризация!D177)</f>
        <v/>
      </c>
      <c r="D177" s="11" t="str">
        <f>IF(Инвентаризация!C177="","",Инвентаризация!E177)</f>
        <v/>
      </c>
      <c r="E177" s="12" t="str">
        <f>IF(Инвентаризация!C177="","",Инвентаризация!F177)</f>
        <v/>
      </c>
      <c r="F177" s="12" t="str">
        <f>IF(Инвентаризация!C177="","",Инвентаризация!G177)</f>
        <v/>
      </c>
      <c r="G177" s="12" t="str">
        <f t="shared" si="10"/>
        <v/>
      </c>
      <c r="H177" s="13" t="str">
        <f t="shared" si="11"/>
        <v/>
      </c>
      <c r="I177" s="12" t="str">
        <f t="shared" si="12"/>
        <v/>
      </c>
      <c r="J177" s="12" t="str">
        <f t="shared" si="13"/>
        <v/>
      </c>
      <c r="K177" s="12" t="str">
        <f t="shared" si="14"/>
        <v/>
      </c>
      <c r="L177" s="10" t="str">
        <f>IF(Инвентаризация!C177="","",Инвентаризация!M177)</f>
        <v/>
      </c>
      <c r="M177" s="10" t="str">
        <f>IF(Инвентаризация!C177="","",Инвентаризация!N177)</f>
        <v/>
      </c>
      <c r="N177" s="10" t="str">
        <f>IF(Инвентаризация!C177="","",Инвентаризация!O177)</f>
        <v/>
      </c>
      <c r="O177" s="10" t="str">
        <f>IF(Инвентаризация!C177="","",Инвентаризация!P177)</f>
        <v/>
      </c>
      <c r="P177" s="8" t="str">
        <f>IF(Инвентаризация!C177="","",Инвентаризация!Q177)</f>
        <v/>
      </c>
    </row>
    <row r="178" spans="1:16">
      <c r="A178" s="10" t="str">
        <f>IF(Инвентаризация!C178="","",Инвентаризация!B178)</f>
        <v/>
      </c>
      <c r="B178" s="10" t="str">
        <f>IF(Инвентаризация!C178="","",Инвентаризация!C178)</f>
        <v/>
      </c>
      <c r="C178" s="5" t="str">
        <f>IF(Инвентаризация!C178="","",Инвентаризация!D178)</f>
        <v/>
      </c>
      <c r="D178" s="11" t="str">
        <f>IF(Инвентаризация!C178="","",Инвентаризация!E178)</f>
        <v/>
      </c>
      <c r="E178" s="12" t="str">
        <f>IF(Инвентаризация!C178="","",Инвентаризация!F178)</f>
        <v/>
      </c>
      <c r="F178" s="12" t="str">
        <f>IF(Инвентаризация!C178="","",Инвентаризация!G178)</f>
        <v/>
      </c>
      <c r="G178" s="12" t="str">
        <f t="shared" si="10"/>
        <v/>
      </c>
      <c r="H178" s="13" t="str">
        <f t="shared" si="11"/>
        <v/>
      </c>
      <c r="I178" s="12" t="str">
        <f t="shared" si="12"/>
        <v/>
      </c>
      <c r="J178" s="12" t="str">
        <f t="shared" si="13"/>
        <v/>
      </c>
      <c r="K178" s="12" t="str">
        <f t="shared" si="14"/>
        <v/>
      </c>
      <c r="L178" s="10" t="str">
        <f>IF(Инвентаризация!C178="","",Инвентаризация!M178)</f>
        <v/>
      </c>
      <c r="M178" s="10" t="str">
        <f>IF(Инвентаризация!C178="","",Инвентаризация!N178)</f>
        <v/>
      </c>
      <c r="N178" s="10" t="str">
        <f>IF(Инвентаризация!C178="","",Инвентаризация!O178)</f>
        <v/>
      </c>
      <c r="O178" s="10" t="str">
        <f>IF(Инвентаризация!C178="","",Инвентаризация!P178)</f>
        <v/>
      </c>
      <c r="P178" s="8" t="str">
        <f>IF(Инвентаризация!C178="","",Инвентаризация!Q178)</f>
        <v/>
      </c>
    </row>
    <row r="179" spans="1:16">
      <c r="A179" s="10" t="str">
        <f>IF(Инвентаризация!C179="","",Инвентаризация!B179)</f>
        <v/>
      </c>
      <c r="B179" s="10" t="str">
        <f>IF(Инвентаризация!C179="","",Инвентаризация!C179)</f>
        <v/>
      </c>
      <c r="C179" s="5" t="str">
        <f>IF(Инвентаризация!C179="","",Инвентаризация!D179)</f>
        <v/>
      </c>
      <c r="D179" s="11" t="str">
        <f>IF(Инвентаризация!C179="","",Инвентаризация!E179)</f>
        <v/>
      </c>
      <c r="E179" s="12" t="str">
        <f>IF(Инвентаризация!C179="","",Инвентаризация!F179)</f>
        <v/>
      </c>
      <c r="F179" s="12" t="str">
        <f>IF(Инвентаризация!C179="","",Инвентаризация!G179)</f>
        <v/>
      </c>
      <c r="G179" s="12" t="str">
        <f t="shared" si="10"/>
        <v/>
      </c>
      <c r="H179" s="13" t="str">
        <f t="shared" si="11"/>
        <v/>
      </c>
      <c r="I179" s="12" t="str">
        <f t="shared" si="12"/>
        <v/>
      </c>
      <c r="J179" s="12" t="str">
        <f t="shared" si="13"/>
        <v/>
      </c>
      <c r="K179" s="12" t="str">
        <f t="shared" si="14"/>
        <v/>
      </c>
      <c r="L179" s="10" t="str">
        <f>IF(Инвентаризация!C179="","",Инвентаризация!M179)</f>
        <v/>
      </c>
      <c r="M179" s="10" t="str">
        <f>IF(Инвентаризация!C179="","",Инвентаризация!N179)</f>
        <v/>
      </c>
      <c r="N179" s="10" t="str">
        <f>IF(Инвентаризация!C179="","",Инвентаризация!O179)</f>
        <v/>
      </c>
      <c r="O179" s="10" t="str">
        <f>IF(Инвентаризация!C179="","",Инвентаризация!P179)</f>
        <v/>
      </c>
      <c r="P179" s="8" t="str">
        <f>IF(Инвентаризация!C179="","",Инвентаризация!Q179)</f>
        <v/>
      </c>
    </row>
    <row r="180" spans="1:16">
      <c r="A180" s="10" t="str">
        <f>IF(Инвентаризация!C180="","",Инвентаризация!B180)</f>
        <v/>
      </c>
      <c r="B180" s="10" t="str">
        <f>IF(Инвентаризация!C180="","",Инвентаризация!C180)</f>
        <v/>
      </c>
      <c r="C180" s="5" t="str">
        <f>IF(Инвентаризация!C180="","",Инвентаризация!D180)</f>
        <v/>
      </c>
      <c r="D180" s="11" t="str">
        <f>IF(Инвентаризация!C180="","",Инвентаризация!E180)</f>
        <v/>
      </c>
      <c r="E180" s="12" t="str">
        <f>IF(Инвентаризация!C180="","",Инвентаризация!F180)</f>
        <v/>
      </c>
      <c r="F180" s="12" t="str">
        <f>IF(Инвентаризация!C180="","",Инвентаризация!G180)</f>
        <v/>
      </c>
      <c r="G180" s="12" t="str">
        <f t="shared" si="10"/>
        <v/>
      </c>
      <c r="H180" s="13" t="str">
        <f t="shared" si="11"/>
        <v/>
      </c>
      <c r="I180" s="12" t="str">
        <f t="shared" si="12"/>
        <v/>
      </c>
      <c r="J180" s="12" t="str">
        <f t="shared" si="13"/>
        <v/>
      </c>
      <c r="K180" s="12" t="str">
        <f t="shared" si="14"/>
        <v/>
      </c>
      <c r="L180" s="10" t="str">
        <f>IF(Инвентаризация!C180="","",Инвентаризация!M180)</f>
        <v/>
      </c>
      <c r="M180" s="10" t="str">
        <f>IF(Инвентаризация!C180="","",Инвентаризация!N180)</f>
        <v/>
      </c>
      <c r="N180" s="10" t="str">
        <f>IF(Инвентаризация!C180="","",Инвентаризация!O180)</f>
        <v/>
      </c>
      <c r="O180" s="10" t="str">
        <f>IF(Инвентаризация!C180="","",Инвентаризация!P180)</f>
        <v/>
      </c>
      <c r="P180" s="8" t="str">
        <f>IF(Инвентаризация!C180="","",Инвентаризация!Q180)</f>
        <v/>
      </c>
    </row>
    <row r="181" spans="1:16">
      <c r="A181" s="10" t="str">
        <f>IF(Инвентаризация!C181="","",Инвентаризация!B181)</f>
        <v/>
      </c>
      <c r="B181" s="10" t="str">
        <f>IF(Инвентаризация!C181="","",Инвентаризация!C181)</f>
        <v/>
      </c>
      <c r="C181" s="5" t="str">
        <f>IF(Инвентаризация!C181="","",Инвентаризация!D181)</f>
        <v/>
      </c>
      <c r="D181" s="11" t="str">
        <f>IF(Инвентаризация!C181="","",Инвентаризация!E181)</f>
        <v/>
      </c>
      <c r="E181" s="12" t="str">
        <f>IF(Инвентаризация!C181="","",Инвентаризация!F181)</f>
        <v/>
      </c>
      <c r="F181" s="12" t="str">
        <f>IF(Инвентаризация!C181="","",Инвентаризация!G181)</f>
        <v/>
      </c>
      <c r="G181" s="12" t="str">
        <f t="shared" si="10"/>
        <v/>
      </c>
      <c r="H181" s="13" t="str">
        <f t="shared" si="11"/>
        <v/>
      </c>
      <c r="I181" s="12" t="str">
        <f t="shared" si="12"/>
        <v/>
      </c>
      <c r="J181" s="12" t="str">
        <f t="shared" si="13"/>
        <v/>
      </c>
      <c r="K181" s="12" t="str">
        <f t="shared" si="14"/>
        <v/>
      </c>
      <c r="L181" s="10" t="str">
        <f>IF(Инвентаризация!C181="","",Инвентаризация!M181)</f>
        <v/>
      </c>
      <c r="M181" s="10" t="str">
        <f>IF(Инвентаризация!C181="","",Инвентаризация!N181)</f>
        <v/>
      </c>
      <c r="N181" s="10" t="str">
        <f>IF(Инвентаризация!C181="","",Инвентаризация!O181)</f>
        <v/>
      </c>
      <c r="O181" s="10" t="str">
        <f>IF(Инвентаризация!C181="","",Инвентаризация!P181)</f>
        <v/>
      </c>
      <c r="P181" s="8" t="str">
        <f>IF(Инвентаризация!C181="","",Инвентаризация!Q181)</f>
        <v/>
      </c>
    </row>
    <row r="182" spans="1:16">
      <c r="A182" s="10" t="str">
        <f>IF(Инвентаризация!C182="","",Инвентаризация!B182)</f>
        <v/>
      </c>
      <c r="B182" s="10" t="str">
        <f>IF(Инвентаризация!C182="","",Инвентаризация!C182)</f>
        <v/>
      </c>
      <c r="C182" s="5" t="str">
        <f>IF(Инвентаризация!C182="","",Инвентаризация!D182)</f>
        <v/>
      </c>
      <c r="D182" s="11" t="str">
        <f>IF(Инвентаризация!C182="","",Инвентаризация!E182)</f>
        <v/>
      </c>
      <c r="E182" s="12" t="str">
        <f>IF(Инвентаризация!C182="","",Инвентаризация!F182)</f>
        <v/>
      </c>
      <c r="F182" s="12" t="str">
        <f>IF(Инвентаризация!C182="","",Инвентаризация!G182)</f>
        <v/>
      </c>
      <c r="G182" s="12" t="str">
        <f t="shared" si="10"/>
        <v/>
      </c>
      <c r="H182" s="13" t="str">
        <f t="shared" si="11"/>
        <v/>
      </c>
      <c r="I182" s="12" t="str">
        <f t="shared" si="12"/>
        <v/>
      </c>
      <c r="J182" s="12" t="str">
        <f t="shared" si="13"/>
        <v/>
      </c>
      <c r="K182" s="12" t="str">
        <f t="shared" si="14"/>
        <v/>
      </c>
      <c r="L182" s="10" t="str">
        <f>IF(Инвентаризация!C182="","",Инвентаризация!M182)</f>
        <v/>
      </c>
      <c r="M182" s="10" t="str">
        <f>IF(Инвентаризация!C182="","",Инвентаризация!N182)</f>
        <v/>
      </c>
      <c r="N182" s="10" t="str">
        <f>IF(Инвентаризация!C182="","",Инвентаризация!O182)</f>
        <v/>
      </c>
      <c r="O182" s="10" t="str">
        <f>IF(Инвентаризация!C182="","",Инвентаризация!P182)</f>
        <v/>
      </c>
      <c r="P182" s="8" t="str">
        <f>IF(Инвентаризация!C182="","",Инвентаризация!Q182)</f>
        <v/>
      </c>
    </row>
    <row r="183" spans="1:16">
      <c r="A183" s="10" t="str">
        <f>IF(Инвентаризация!C183="","",Инвентаризация!B183)</f>
        <v/>
      </c>
      <c r="B183" s="10" t="str">
        <f>IF(Инвентаризация!C183="","",Инвентаризация!C183)</f>
        <v/>
      </c>
      <c r="C183" s="5" t="str">
        <f>IF(Инвентаризация!C183="","",Инвентаризация!D183)</f>
        <v/>
      </c>
      <c r="D183" s="11" t="str">
        <f>IF(Инвентаризация!C183="","",Инвентаризация!E183)</f>
        <v/>
      </c>
      <c r="E183" s="12" t="str">
        <f>IF(Инвентаризация!C183="","",Инвентаризация!F183)</f>
        <v/>
      </c>
      <c r="F183" s="12" t="str">
        <f>IF(Инвентаризация!C183="","",Инвентаризация!G183)</f>
        <v/>
      </c>
      <c r="G183" s="12" t="str">
        <f t="shared" si="10"/>
        <v/>
      </c>
      <c r="H183" s="13" t="str">
        <f t="shared" si="11"/>
        <v/>
      </c>
      <c r="I183" s="12" t="str">
        <f t="shared" si="12"/>
        <v/>
      </c>
      <c r="J183" s="12" t="str">
        <f t="shared" si="13"/>
        <v/>
      </c>
      <c r="K183" s="12" t="str">
        <f t="shared" si="14"/>
        <v/>
      </c>
      <c r="L183" s="10" t="str">
        <f>IF(Инвентаризация!C183="","",Инвентаризация!M183)</f>
        <v/>
      </c>
      <c r="M183" s="10" t="str">
        <f>IF(Инвентаризация!C183="","",Инвентаризация!N183)</f>
        <v/>
      </c>
      <c r="N183" s="10" t="str">
        <f>IF(Инвентаризация!C183="","",Инвентаризация!O183)</f>
        <v/>
      </c>
      <c r="O183" s="10" t="str">
        <f>IF(Инвентаризация!C183="","",Инвентаризация!P183)</f>
        <v/>
      </c>
      <c r="P183" s="8" t="str">
        <f>IF(Инвентаризация!C183="","",Инвентаризация!Q183)</f>
        <v/>
      </c>
    </row>
    <row r="184" spans="1:16">
      <c r="A184" s="10" t="str">
        <f>IF(Инвентаризация!C184="","",Инвентаризация!B184)</f>
        <v/>
      </c>
      <c r="B184" s="10" t="str">
        <f>IF(Инвентаризация!C184="","",Инвентаризация!C184)</f>
        <v/>
      </c>
      <c r="C184" s="5" t="str">
        <f>IF(Инвентаризация!C184="","",Инвентаризация!D184)</f>
        <v/>
      </c>
      <c r="D184" s="11" t="str">
        <f>IF(Инвентаризация!C184="","",Инвентаризация!E184)</f>
        <v/>
      </c>
      <c r="E184" s="12" t="str">
        <f>IF(Инвентаризация!C184="","",Инвентаризация!F184)</f>
        <v/>
      </c>
      <c r="F184" s="12" t="str">
        <f>IF(Инвентаризация!C184="","",Инвентаризация!G184)</f>
        <v/>
      </c>
      <c r="G184" s="12" t="str">
        <f t="shared" si="10"/>
        <v/>
      </c>
      <c r="H184" s="13" t="str">
        <f t="shared" si="11"/>
        <v/>
      </c>
      <c r="I184" s="12" t="str">
        <f t="shared" si="12"/>
        <v/>
      </c>
      <c r="J184" s="12" t="str">
        <f t="shared" si="13"/>
        <v/>
      </c>
      <c r="K184" s="12" t="str">
        <f t="shared" si="14"/>
        <v/>
      </c>
      <c r="L184" s="10" t="str">
        <f>IF(Инвентаризация!C184="","",Инвентаризация!M184)</f>
        <v/>
      </c>
      <c r="M184" s="10" t="str">
        <f>IF(Инвентаризация!C184="","",Инвентаризация!N184)</f>
        <v/>
      </c>
      <c r="N184" s="10" t="str">
        <f>IF(Инвентаризация!C184="","",Инвентаризация!O184)</f>
        <v/>
      </c>
      <c r="O184" s="10" t="str">
        <f>IF(Инвентаризация!C184="","",Инвентаризация!P184)</f>
        <v/>
      </c>
      <c r="P184" s="8" t="str">
        <f>IF(Инвентаризация!C184="","",Инвентаризация!Q184)</f>
        <v/>
      </c>
    </row>
    <row r="185" spans="1:16">
      <c r="A185" s="10" t="str">
        <f>IF(Инвентаризация!C185="","",Инвентаризация!B185)</f>
        <v/>
      </c>
      <c r="B185" s="10" t="str">
        <f>IF(Инвентаризация!C185="","",Инвентаризация!C185)</f>
        <v/>
      </c>
      <c r="C185" s="5" t="str">
        <f>IF(Инвентаризация!C185="","",Инвентаризация!D185)</f>
        <v/>
      </c>
      <c r="D185" s="11" t="str">
        <f>IF(Инвентаризация!C185="","",Инвентаризация!E185)</f>
        <v/>
      </c>
      <c r="E185" s="12" t="str">
        <f>IF(Инвентаризация!C185="","",Инвентаризация!F185)</f>
        <v/>
      </c>
      <c r="F185" s="12" t="str">
        <f>IF(Инвентаризация!C185="","",Инвентаризация!G185)</f>
        <v/>
      </c>
      <c r="G185" s="12" t="str">
        <f t="shared" si="10"/>
        <v/>
      </c>
      <c r="H185" s="13" t="str">
        <f t="shared" si="11"/>
        <v/>
      </c>
      <c r="I185" s="12" t="str">
        <f t="shared" si="12"/>
        <v/>
      </c>
      <c r="J185" s="12" t="str">
        <f t="shared" si="13"/>
        <v/>
      </c>
      <c r="K185" s="12" t="str">
        <f t="shared" si="14"/>
        <v/>
      </c>
      <c r="L185" s="10" t="str">
        <f>IF(Инвентаризация!C185="","",Инвентаризация!M185)</f>
        <v/>
      </c>
      <c r="M185" s="10" t="str">
        <f>IF(Инвентаризация!C185="","",Инвентаризация!N185)</f>
        <v/>
      </c>
      <c r="N185" s="10" t="str">
        <f>IF(Инвентаризация!C185="","",Инвентаризация!O185)</f>
        <v/>
      </c>
      <c r="O185" s="10" t="str">
        <f>IF(Инвентаризация!C185="","",Инвентаризация!P185)</f>
        <v/>
      </c>
      <c r="P185" s="8" t="str">
        <f>IF(Инвентаризация!C185="","",Инвентаризация!Q185)</f>
        <v/>
      </c>
    </row>
    <row r="186" spans="1:16">
      <c r="A186" s="10" t="str">
        <f>IF(Инвентаризация!C186="","",Инвентаризация!B186)</f>
        <v/>
      </c>
      <c r="B186" s="10" t="str">
        <f>IF(Инвентаризация!C186="","",Инвентаризация!C186)</f>
        <v/>
      </c>
      <c r="C186" s="5" t="str">
        <f>IF(Инвентаризация!C186="","",Инвентаризация!D186)</f>
        <v/>
      </c>
      <c r="D186" s="11" t="str">
        <f>IF(Инвентаризация!C186="","",Инвентаризация!E186)</f>
        <v/>
      </c>
      <c r="E186" s="12" t="str">
        <f>IF(Инвентаризация!C186="","",Инвентаризация!F186)</f>
        <v/>
      </c>
      <c r="F186" s="12" t="str">
        <f>IF(Инвентаризация!C186="","",Инвентаризация!G186)</f>
        <v/>
      </c>
      <c r="G186" s="12" t="str">
        <f t="shared" si="10"/>
        <v/>
      </c>
      <c r="H186" s="13" t="str">
        <f t="shared" si="11"/>
        <v/>
      </c>
      <c r="I186" s="12" t="str">
        <f t="shared" si="12"/>
        <v/>
      </c>
      <c r="J186" s="12" t="str">
        <f t="shared" si="13"/>
        <v/>
      </c>
      <c r="K186" s="12" t="str">
        <f t="shared" si="14"/>
        <v/>
      </c>
      <c r="L186" s="10" t="str">
        <f>IF(Инвентаризация!C186="","",Инвентаризация!M186)</f>
        <v/>
      </c>
      <c r="M186" s="10" t="str">
        <f>IF(Инвентаризация!C186="","",Инвентаризация!N186)</f>
        <v/>
      </c>
      <c r="N186" s="10" t="str">
        <f>IF(Инвентаризация!C186="","",Инвентаризация!O186)</f>
        <v/>
      </c>
      <c r="O186" s="10" t="str">
        <f>IF(Инвентаризация!C186="","",Инвентаризация!P186)</f>
        <v/>
      </c>
      <c r="P186" s="8" t="str">
        <f>IF(Инвентаризация!C186="","",Инвентаризация!Q186)</f>
        <v/>
      </c>
    </row>
    <row r="187" spans="1:16">
      <c r="A187" s="10" t="str">
        <f>IF(Инвентаризация!C187="","",Инвентаризация!B187)</f>
        <v/>
      </c>
      <c r="B187" s="10" t="str">
        <f>IF(Инвентаризация!C187="","",Инвентаризация!C187)</f>
        <v/>
      </c>
      <c r="C187" s="5" t="str">
        <f>IF(Инвентаризация!C187="","",Инвентаризация!D187)</f>
        <v/>
      </c>
      <c r="D187" s="11" t="str">
        <f>IF(Инвентаризация!C187="","",Инвентаризация!E187)</f>
        <v/>
      </c>
      <c r="E187" s="12" t="str">
        <f>IF(Инвентаризация!C187="","",Инвентаризация!F187)</f>
        <v/>
      </c>
      <c r="F187" s="12" t="str">
        <f>IF(Инвентаризация!C187="","",Инвентаризация!G187)</f>
        <v/>
      </c>
      <c r="G187" s="12" t="str">
        <f t="shared" si="10"/>
        <v/>
      </c>
      <c r="H187" s="13" t="str">
        <f t="shared" si="11"/>
        <v/>
      </c>
      <c r="I187" s="12" t="str">
        <f t="shared" si="12"/>
        <v/>
      </c>
      <c r="J187" s="12" t="str">
        <f t="shared" si="13"/>
        <v/>
      </c>
      <c r="K187" s="12" t="str">
        <f t="shared" si="14"/>
        <v/>
      </c>
      <c r="L187" s="10" t="str">
        <f>IF(Инвентаризация!C187="","",Инвентаризация!M187)</f>
        <v/>
      </c>
      <c r="M187" s="10" t="str">
        <f>IF(Инвентаризация!C187="","",Инвентаризация!N187)</f>
        <v/>
      </c>
      <c r="N187" s="10" t="str">
        <f>IF(Инвентаризация!C187="","",Инвентаризация!O187)</f>
        <v/>
      </c>
      <c r="O187" s="10" t="str">
        <f>IF(Инвентаризация!C187="","",Инвентаризация!P187)</f>
        <v/>
      </c>
      <c r="P187" s="8" t="str">
        <f>IF(Инвентаризация!C187="","",Инвентаризация!Q187)</f>
        <v/>
      </c>
    </row>
    <row r="188" spans="1:16">
      <c r="A188" s="10" t="str">
        <f>IF(Инвентаризация!C188="","",Инвентаризация!B188)</f>
        <v/>
      </c>
      <c r="B188" s="10" t="str">
        <f>IF(Инвентаризация!C188="","",Инвентаризация!C188)</f>
        <v/>
      </c>
      <c r="C188" s="5" t="str">
        <f>IF(Инвентаризация!C188="","",Инвентаризация!D188)</f>
        <v/>
      </c>
      <c r="D188" s="11" t="str">
        <f>IF(Инвентаризация!C188="","",Инвентаризация!E188)</f>
        <v/>
      </c>
      <c r="E188" s="12" t="str">
        <f>IF(Инвентаризация!C188="","",Инвентаризация!F188)</f>
        <v/>
      </c>
      <c r="F188" s="12" t="str">
        <f>IF(Инвентаризация!C188="","",Инвентаризация!G188)</f>
        <v/>
      </c>
      <c r="G188" s="12" t="str">
        <f t="shared" si="10"/>
        <v/>
      </c>
      <c r="H188" s="13" t="str">
        <f t="shared" si="11"/>
        <v/>
      </c>
      <c r="I188" s="12" t="str">
        <f t="shared" si="12"/>
        <v/>
      </c>
      <c r="J188" s="12" t="str">
        <f t="shared" si="13"/>
        <v/>
      </c>
      <c r="K188" s="12" t="str">
        <f t="shared" si="14"/>
        <v/>
      </c>
      <c r="L188" s="10" t="str">
        <f>IF(Инвентаризация!C188="","",Инвентаризация!M188)</f>
        <v/>
      </c>
      <c r="M188" s="10" t="str">
        <f>IF(Инвентаризация!C188="","",Инвентаризация!N188)</f>
        <v/>
      </c>
      <c r="N188" s="10" t="str">
        <f>IF(Инвентаризация!C188="","",Инвентаризация!O188)</f>
        <v/>
      </c>
      <c r="O188" s="10" t="str">
        <f>IF(Инвентаризация!C188="","",Инвентаризация!P188)</f>
        <v/>
      </c>
      <c r="P188" s="8" t="str">
        <f>IF(Инвентаризация!C188="","",Инвентаризация!Q188)</f>
        <v/>
      </c>
    </row>
    <row r="189" spans="1:16">
      <c r="A189" s="10" t="str">
        <f>IF(Инвентаризация!C189="","",Инвентаризация!B189)</f>
        <v/>
      </c>
      <c r="B189" s="10" t="str">
        <f>IF(Инвентаризация!C189="","",Инвентаризация!C189)</f>
        <v/>
      </c>
      <c r="C189" s="5" t="str">
        <f>IF(Инвентаризация!C189="","",Инвентаризация!D189)</f>
        <v/>
      </c>
      <c r="D189" s="11" t="str">
        <f>IF(Инвентаризация!C189="","",Инвентаризация!E189)</f>
        <v/>
      </c>
      <c r="E189" s="12" t="str">
        <f>IF(Инвентаризация!C189="","",Инвентаризация!F189)</f>
        <v/>
      </c>
      <c r="F189" s="12" t="str">
        <f>IF(Инвентаризация!C189="","",Инвентаризация!G189)</f>
        <v/>
      </c>
      <c r="G189" s="12" t="str">
        <f t="shared" si="10"/>
        <v/>
      </c>
      <c r="H189" s="13" t="str">
        <f t="shared" si="11"/>
        <v/>
      </c>
      <c r="I189" s="12" t="str">
        <f t="shared" si="12"/>
        <v/>
      </c>
      <c r="J189" s="12" t="str">
        <f t="shared" si="13"/>
        <v/>
      </c>
      <c r="K189" s="12" t="str">
        <f t="shared" si="14"/>
        <v/>
      </c>
      <c r="L189" s="10" t="str">
        <f>IF(Инвентаризация!C189="","",Инвентаризация!M189)</f>
        <v/>
      </c>
      <c r="M189" s="10" t="str">
        <f>IF(Инвентаризация!C189="","",Инвентаризация!N189)</f>
        <v/>
      </c>
      <c r="N189" s="10" t="str">
        <f>IF(Инвентаризация!C189="","",Инвентаризация!O189)</f>
        <v/>
      </c>
      <c r="O189" s="10" t="str">
        <f>IF(Инвентаризация!C189="","",Инвентаризация!P189)</f>
        <v/>
      </c>
      <c r="P189" s="8" t="str">
        <f>IF(Инвентаризация!C189="","",Инвентаризация!Q189)</f>
        <v/>
      </c>
    </row>
    <row r="190" spans="1:16">
      <c r="A190" s="10" t="str">
        <f>IF(Инвентаризация!C190="","",Инвентаризация!B190)</f>
        <v/>
      </c>
      <c r="B190" s="10" t="str">
        <f>IF(Инвентаризация!C190="","",Инвентаризация!C190)</f>
        <v/>
      </c>
      <c r="C190" s="5" t="str">
        <f>IF(Инвентаризация!C190="","",Инвентаризация!D190)</f>
        <v/>
      </c>
      <c r="D190" s="11" t="str">
        <f>IF(Инвентаризация!C190="","",Инвентаризация!E190)</f>
        <v/>
      </c>
      <c r="E190" s="12" t="str">
        <f>IF(Инвентаризация!C190="","",Инвентаризация!F190)</f>
        <v/>
      </c>
      <c r="F190" s="12" t="str">
        <f>IF(Инвентаризация!C190="","",Инвентаризация!G190)</f>
        <v/>
      </c>
      <c r="G190" s="12" t="str">
        <f t="shared" si="10"/>
        <v/>
      </c>
      <c r="H190" s="13" t="str">
        <f t="shared" si="11"/>
        <v/>
      </c>
      <c r="I190" s="12" t="str">
        <f t="shared" si="12"/>
        <v/>
      </c>
      <c r="J190" s="12" t="str">
        <f t="shared" si="13"/>
        <v/>
      </c>
      <c r="K190" s="12" t="str">
        <f t="shared" si="14"/>
        <v/>
      </c>
      <c r="L190" s="10" t="str">
        <f>IF(Инвентаризация!C190="","",Инвентаризация!M190)</f>
        <v/>
      </c>
      <c r="M190" s="10" t="str">
        <f>IF(Инвентаризация!C190="","",Инвентаризация!N190)</f>
        <v/>
      </c>
      <c r="N190" s="10" t="str">
        <f>IF(Инвентаризация!C190="","",Инвентаризация!O190)</f>
        <v/>
      </c>
      <c r="O190" s="10" t="str">
        <f>IF(Инвентаризация!C190="","",Инвентаризация!P190)</f>
        <v/>
      </c>
      <c r="P190" s="8" t="str">
        <f>IF(Инвентаризация!C190="","",Инвентаризация!Q190)</f>
        <v/>
      </c>
    </row>
    <row r="191" spans="1:16">
      <c r="A191" s="10" t="str">
        <f>IF(Инвентаризация!C191="","",Инвентаризация!B191)</f>
        <v/>
      </c>
      <c r="B191" s="10" t="str">
        <f>IF(Инвентаризация!C191="","",Инвентаризация!C191)</f>
        <v/>
      </c>
      <c r="C191" s="5" t="str">
        <f>IF(Инвентаризация!C191="","",Инвентаризация!D191)</f>
        <v/>
      </c>
      <c r="D191" s="11" t="str">
        <f>IF(Инвентаризация!C191="","",Инвентаризация!E191)</f>
        <v/>
      </c>
      <c r="E191" s="12" t="str">
        <f>IF(Инвентаризация!C191="","",Инвентаризация!F191)</f>
        <v/>
      </c>
      <c r="F191" s="12" t="str">
        <f>IF(Инвентаризация!C191="","",Инвентаризация!G191)</f>
        <v/>
      </c>
      <c r="G191" s="12" t="str">
        <f t="shared" si="10"/>
        <v/>
      </c>
      <c r="H191" s="13" t="str">
        <f t="shared" si="11"/>
        <v/>
      </c>
      <c r="I191" s="12" t="str">
        <f t="shared" si="12"/>
        <v/>
      </c>
      <c r="J191" s="12" t="str">
        <f t="shared" si="13"/>
        <v/>
      </c>
      <c r="K191" s="12" t="str">
        <f t="shared" si="14"/>
        <v/>
      </c>
      <c r="L191" s="10" t="str">
        <f>IF(Инвентаризация!C191="","",Инвентаризация!M191)</f>
        <v/>
      </c>
      <c r="M191" s="10" t="str">
        <f>IF(Инвентаризация!C191="","",Инвентаризация!N191)</f>
        <v/>
      </c>
      <c r="N191" s="10" t="str">
        <f>IF(Инвентаризация!C191="","",Инвентаризация!O191)</f>
        <v/>
      </c>
      <c r="O191" s="10" t="str">
        <f>IF(Инвентаризация!C191="","",Инвентаризация!P191)</f>
        <v/>
      </c>
      <c r="P191" s="8" t="str">
        <f>IF(Инвентаризация!C191="","",Инвентаризация!Q191)</f>
        <v/>
      </c>
    </row>
    <row r="192" spans="1:16">
      <c r="A192" s="10" t="str">
        <f>IF(Инвентаризация!C192="","",Инвентаризация!B192)</f>
        <v/>
      </c>
      <c r="B192" s="10" t="str">
        <f>IF(Инвентаризация!C192="","",Инвентаризация!C192)</f>
        <v/>
      </c>
      <c r="C192" s="5" t="str">
        <f>IF(Инвентаризация!C192="","",Инвентаризация!D192)</f>
        <v/>
      </c>
      <c r="D192" s="11" t="str">
        <f>IF(Инвентаризация!C192="","",Инвентаризация!E192)</f>
        <v/>
      </c>
      <c r="E192" s="12" t="str">
        <f>IF(Инвентаризация!C192="","",Инвентаризация!F192)</f>
        <v/>
      </c>
      <c r="F192" s="12" t="str">
        <f>IF(Инвентаризация!C192="","",Инвентаризация!G192)</f>
        <v/>
      </c>
      <c r="G192" s="12" t="str">
        <f t="shared" si="10"/>
        <v/>
      </c>
      <c r="H192" s="13" t="str">
        <f t="shared" si="11"/>
        <v/>
      </c>
      <c r="I192" s="12" t="str">
        <f t="shared" si="12"/>
        <v/>
      </c>
      <c r="J192" s="12" t="str">
        <f t="shared" si="13"/>
        <v/>
      </c>
      <c r="K192" s="12" t="str">
        <f t="shared" si="14"/>
        <v/>
      </c>
      <c r="L192" s="10" t="str">
        <f>IF(Инвентаризация!C192="","",Инвентаризация!M192)</f>
        <v/>
      </c>
      <c r="M192" s="10" t="str">
        <f>IF(Инвентаризация!C192="","",Инвентаризация!N192)</f>
        <v/>
      </c>
      <c r="N192" s="10" t="str">
        <f>IF(Инвентаризация!C192="","",Инвентаризация!O192)</f>
        <v/>
      </c>
      <c r="O192" s="10" t="str">
        <f>IF(Инвентаризация!C192="","",Инвентаризация!P192)</f>
        <v/>
      </c>
      <c r="P192" s="8" t="str">
        <f>IF(Инвентаризация!C192="","",Инвентаризация!Q192)</f>
        <v/>
      </c>
    </row>
    <row r="193" spans="1:16">
      <c r="A193" s="10" t="str">
        <f>IF(Инвентаризация!C193="","",Инвентаризация!B193)</f>
        <v/>
      </c>
      <c r="B193" s="10" t="str">
        <f>IF(Инвентаризация!C193="","",Инвентаризация!C193)</f>
        <v/>
      </c>
      <c r="C193" s="5" t="str">
        <f>IF(Инвентаризация!C193="","",Инвентаризация!D193)</f>
        <v/>
      </c>
      <c r="D193" s="11" t="str">
        <f>IF(Инвентаризация!C193="","",Инвентаризация!E193)</f>
        <v/>
      </c>
      <c r="E193" s="12" t="str">
        <f>IF(Инвентаризация!C193="","",Инвентаризация!F193)</f>
        <v/>
      </c>
      <c r="F193" s="12" t="str">
        <f>IF(Инвентаризация!C193="","",Инвентаризация!G193)</f>
        <v/>
      </c>
      <c r="G193" s="12" t="str">
        <f t="shared" si="10"/>
        <v/>
      </c>
      <c r="H193" s="13" t="str">
        <f t="shared" si="11"/>
        <v/>
      </c>
      <c r="I193" s="12" t="str">
        <f t="shared" si="12"/>
        <v/>
      </c>
      <c r="J193" s="12" t="str">
        <f t="shared" si="13"/>
        <v/>
      </c>
      <c r="K193" s="12" t="str">
        <f t="shared" si="14"/>
        <v/>
      </c>
      <c r="L193" s="10" t="str">
        <f>IF(Инвентаризация!C193="","",Инвентаризация!M193)</f>
        <v/>
      </c>
      <c r="M193" s="10" t="str">
        <f>IF(Инвентаризация!C193="","",Инвентаризация!N193)</f>
        <v/>
      </c>
      <c r="N193" s="10" t="str">
        <f>IF(Инвентаризация!C193="","",Инвентаризация!O193)</f>
        <v/>
      </c>
      <c r="O193" s="10" t="str">
        <f>IF(Инвентаризация!C193="","",Инвентаризация!P193)</f>
        <v/>
      </c>
      <c r="P193" s="8" t="str">
        <f>IF(Инвентаризация!C193="","",Инвентаризация!Q193)</f>
        <v/>
      </c>
    </row>
    <row r="194" spans="1:16">
      <c r="A194" s="10" t="str">
        <f>IF(Инвентаризация!C194="","",Инвентаризация!B194)</f>
        <v/>
      </c>
      <c r="B194" s="10" t="str">
        <f>IF(Инвентаризация!C194="","",Инвентаризация!C194)</f>
        <v/>
      </c>
      <c r="C194" s="5" t="str">
        <f>IF(Инвентаризация!C194="","",Инвентаризация!D194)</f>
        <v/>
      </c>
      <c r="D194" s="11" t="str">
        <f>IF(Инвентаризация!C194="","",Инвентаризация!E194)</f>
        <v/>
      </c>
      <c r="E194" s="12" t="str">
        <f>IF(Инвентаризация!C194="","",Инвентаризация!F194)</f>
        <v/>
      </c>
      <c r="F194" s="12" t="str">
        <f>IF(Инвентаризация!C194="","",Инвентаризация!G194)</f>
        <v/>
      </c>
      <c r="G194" s="12" t="str">
        <f t="shared" ref="G194:G257" si="15">IF(OR(E194="",F194=""),"",F194-E194)</f>
        <v/>
      </c>
      <c r="H194" s="13" t="str">
        <f t="shared" ref="H194:H257" si="16">IFERROR(G194/F194,"")</f>
        <v/>
      </c>
      <c r="I194" s="12" t="str">
        <f t="shared" ref="I194:I257" si="17">IF(OR(D194="",E194=""),"",D194*E194)</f>
        <v/>
      </c>
      <c r="J194" s="12" t="str">
        <f t="shared" ref="J194:J257" si="18">IF(OR(D194="",F194=""),"",D194*F194)</f>
        <v/>
      </c>
      <c r="K194" s="12" t="str">
        <f t="shared" ref="K194:K257" si="19">IF(OR(D194="",G194=""),"",D194*G194)</f>
        <v/>
      </c>
      <c r="L194" s="10" t="str">
        <f>IF(Инвентаризация!C194="","",Инвентаризация!M194)</f>
        <v/>
      </c>
      <c r="M194" s="10" t="str">
        <f>IF(Инвентаризация!C194="","",Инвентаризация!N194)</f>
        <v/>
      </c>
      <c r="N194" s="10" t="str">
        <f>IF(Инвентаризация!C194="","",Инвентаризация!O194)</f>
        <v/>
      </c>
      <c r="O194" s="10" t="str">
        <f>IF(Инвентаризация!C194="","",Инвентаризация!P194)</f>
        <v/>
      </c>
      <c r="P194" s="8" t="str">
        <f>IF(Инвентаризация!C194="","",Инвентаризация!Q194)</f>
        <v/>
      </c>
    </row>
    <row r="195" spans="1:16">
      <c r="A195" s="10" t="str">
        <f>IF(Инвентаризация!C195="","",Инвентаризация!B195)</f>
        <v/>
      </c>
      <c r="B195" s="10" t="str">
        <f>IF(Инвентаризация!C195="","",Инвентаризация!C195)</f>
        <v/>
      </c>
      <c r="C195" s="5" t="str">
        <f>IF(Инвентаризация!C195="","",Инвентаризация!D195)</f>
        <v/>
      </c>
      <c r="D195" s="11" t="str">
        <f>IF(Инвентаризация!C195="","",Инвентаризация!E195)</f>
        <v/>
      </c>
      <c r="E195" s="12" t="str">
        <f>IF(Инвентаризация!C195="","",Инвентаризация!F195)</f>
        <v/>
      </c>
      <c r="F195" s="12" t="str">
        <f>IF(Инвентаризация!C195="","",Инвентаризация!G195)</f>
        <v/>
      </c>
      <c r="G195" s="12" t="str">
        <f t="shared" si="15"/>
        <v/>
      </c>
      <c r="H195" s="13" t="str">
        <f t="shared" si="16"/>
        <v/>
      </c>
      <c r="I195" s="12" t="str">
        <f t="shared" si="17"/>
        <v/>
      </c>
      <c r="J195" s="12" t="str">
        <f t="shared" si="18"/>
        <v/>
      </c>
      <c r="K195" s="12" t="str">
        <f t="shared" si="19"/>
        <v/>
      </c>
      <c r="L195" s="10" t="str">
        <f>IF(Инвентаризация!C195="","",Инвентаризация!M195)</f>
        <v/>
      </c>
      <c r="M195" s="10" t="str">
        <f>IF(Инвентаризация!C195="","",Инвентаризация!N195)</f>
        <v/>
      </c>
      <c r="N195" s="10" t="str">
        <f>IF(Инвентаризация!C195="","",Инвентаризация!O195)</f>
        <v/>
      </c>
      <c r="O195" s="10" t="str">
        <f>IF(Инвентаризация!C195="","",Инвентаризация!P195)</f>
        <v/>
      </c>
      <c r="P195" s="8" t="str">
        <f>IF(Инвентаризация!C195="","",Инвентаризация!Q195)</f>
        <v/>
      </c>
    </row>
    <row r="196" spans="1:16">
      <c r="A196" s="10" t="str">
        <f>IF(Инвентаризация!C196="","",Инвентаризация!B196)</f>
        <v/>
      </c>
      <c r="B196" s="10" t="str">
        <f>IF(Инвентаризация!C196="","",Инвентаризация!C196)</f>
        <v/>
      </c>
      <c r="C196" s="5" t="str">
        <f>IF(Инвентаризация!C196="","",Инвентаризация!D196)</f>
        <v/>
      </c>
      <c r="D196" s="11" t="str">
        <f>IF(Инвентаризация!C196="","",Инвентаризация!E196)</f>
        <v/>
      </c>
      <c r="E196" s="12" t="str">
        <f>IF(Инвентаризация!C196="","",Инвентаризация!F196)</f>
        <v/>
      </c>
      <c r="F196" s="12" t="str">
        <f>IF(Инвентаризация!C196="","",Инвентаризация!G196)</f>
        <v/>
      </c>
      <c r="G196" s="12" t="str">
        <f t="shared" si="15"/>
        <v/>
      </c>
      <c r="H196" s="13" t="str">
        <f t="shared" si="16"/>
        <v/>
      </c>
      <c r="I196" s="12" t="str">
        <f t="shared" si="17"/>
        <v/>
      </c>
      <c r="J196" s="12" t="str">
        <f t="shared" si="18"/>
        <v/>
      </c>
      <c r="K196" s="12" t="str">
        <f t="shared" si="19"/>
        <v/>
      </c>
      <c r="L196" s="10" t="str">
        <f>IF(Инвентаризация!C196="","",Инвентаризация!M196)</f>
        <v/>
      </c>
      <c r="M196" s="10" t="str">
        <f>IF(Инвентаризация!C196="","",Инвентаризация!N196)</f>
        <v/>
      </c>
      <c r="N196" s="10" t="str">
        <f>IF(Инвентаризация!C196="","",Инвентаризация!O196)</f>
        <v/>
      </c>
      <c r="O196" s="10" t="str">
        <f>IF(Инвентаризация!C196="","",Инвентаризация!P196)</f>
        <v/>
      </c>
      <c r="P196" s="8" t="str">
        <f>IF(Инвентаризация!C196="","",Инвентаризация!Q196)</f>
        <v/>
      </c>
    </row>
    <row r="197" spans="1:16">
      <c r="A197" s="10" t="str">
        <f>IF(Инвентаризация!C197="","",Инвентаризация!B197)</f>
        <v/>
      </c>
      <c r="B197" s="10" t="str">
        <f>IF(Инвентаризация!C197="","",Инвентаризация!C197)</f>
        <v/>
      </c>
      <c r="C197" s="5" t="str">
        <f>IF(Инвентаризация!C197="","",Инвентаризация!D197)</f>
        <v/>
      </c>
      <c r="D197" s="11" t="str">
        <f>IF(Инвентаризация!C197="","",Инвентаризация!E197)</f>
        <v/>
      </c>
      <c r="E197" s="12" t="str">
        <f>IF(Инвентаризация!C197="","",Инвентаризация!F197)</f>
        <v/>
      </c>
      <c r="F197" s="12" t="str">
        <f>IF(Инвентаризация!C197="","",Инвентаризация!G197)</f>
        <v/>
      </c>
      <c r="G197" s="12" t="str">
        <f t="shared" si="15"/>
        <v/>
      </c>
      <c r="H197" s="13" t="str">
        <f t="shared" si="16"/>
        <v/>
      </c>
      <c r="I197" s="12" t="str">
        <f t="shared" si="17"/>
        <v/>
      </c>
      <c r="J197" s="12" t="str">
        <f t="shared" si="18"/>
        <v/>
      </c>
      <c r="K197" s="12" t="str">
        <f t="shared" si="19"/>
        <v/>
      </c>
      <c r="L197" s="10" t="str">
        <f>IF(Инвентаризация!C197="","",Инвентаризация!M197)</f>
        <v/>
      </c>
      <c r="M197" s="10" t="str">
        <f>IF(Инвентаризация!C197="","",Инвентаризация!N197)</f>
        <v/>
      </c>
      <c r="N197" s="10" t="str">
        <f>IF(Инвентаризация!C197="","",Инвентаризация!O197)</f>
        <v/>
      </c>
      <c r="O197" s="10" t="str">
        <f>IF(Инвентаризация!C197="","",Инвентаризация!P197)</f>
        <v/>
      </c>
      <c r="P197" s="8" t="str">
        <f>IF(Инвентаризация!C197="","",Инвентаризация!Q197)</f>
        <v/>
      </c>
    </row>
    <row r="198" spans="1:16">
      <c r="A198" s="10" t="str">
        <f>IF(Инвентаризация!C198="","",Инвентаризация!B198)</f>
        <v/>
      </c>
      <c r="B198" s="10" t="str">
        <f>IF(Инвентаризация!C198="","",Инвентаризация!C198)</f>
        <v/>
      </c>
      <c r="C198" s="5" t="str">
        <f>IF(Инвентаризация!C198="","",Инвентаризация!D198)</f>
        <v/>
      </c>
      <c r="D198" s="11" t="str">
        <f>IF(Инвентаризация!C198="","",Инвентаризация!E198)</f>
        <v/>
      </c>
      <c r="E198" s="12" t="str">
        <f>IF(Инвентаризация!C198="","",Инвентаризация!F198)</f>
        <v/>
      </c>
      <c r="F198" s="12" t="str">
        <f>IF(Инвентаризация!C198="","",Инвентаризация!G198)</f>
        <v/>
      </c>
      <c r="G198" s="12" t="str">
        <f t="shared" si="15"/>
        <v/>
      </c>
      <c r="H198" s="13" t="str">
        <f t="shared" si="16"/>
        <v/>
      </c>
      <c r="I198" s="12" t="str">
        <f t="shared" si="17"/>
        <v/>
      </c>
      <c r="J198" s="12" t="str">
        <f t="shared" si="18"/>
        <v/>
      </c>
      <c r="K198" s="12" t="str">
        <f t="shared" si="19"/>
        <v/>
      </c>
      <c r="L198" s="10" t="str">
        <f>IF(Инвентаризация!C198="","",Инвентаризация!M198)</f>
        <v/>
      </c>
      <c r="M198" s="10" t="str">
        <f>IF(Инвентаризация!C198="","",Инвентаризация!N198)</f>
        <v/>
      </c>
      <c r="N198" s="10" t="str">
        <f>IF(Инвентаризация!C198="","",Инвентаризация!O198)</f>
        <v/>
      </c>
      <c r="O198" s="10" t="str">
        <f>IF(Инвентаризация!C198="","",Инвентаризация!P198)</f>
        <v/>
      </c>
      <c r="P198" s="8" t="str">
        <f>IF(Инвентаризация!C198="","",Инвентаризация!Q198)</f>
        <v/>
      </c>
    </row>
    <row r="199" spans="1:16">
      <c r="A199" s="10" t="str">
        <f>IF(Инвентаризация!C199="","",Инвентаризация!B199)</f>
        <v/>
      </c>
      <c r="B199" s="10" t="str">
        <f>IF(Инвентаризация!C199="","",Инвентаризация!C199)</f>
        <v/>
      </c>
      <c r="C199" s="5" t="str">
        <f>IF(Инвентаризация!C199="","",Инвентаризация!D199)</f>
        <v/>
      </c>
      <c r="D199" s="11" t="str">
        <f>IF(Инвентаризация!C199="","",Инвентаризация!E199)</f>
        <v/>
      </c>
      <c r="E199" s="12" t="str">
        <f>IF(Инвентаризация!C199="","",Инвентаризация!F199)</f>
        <v/>
      </c>
      <c r="F199" s="12" t="str">
        <f>IF(Инвентаризация!C199="","",Инвентаризация!G199)</f>
        <v/>
      </c>
      <c r="G199" s="12" t="str">
        <f t="shared" si="15"/>
        <v/>
      </c>
      <c r="H199" s="13" t="str">
        <f t="shared" si="16"/>
        <v/>
      </c>
      <c r="I199" s="12" t="str">
        <f t="shared" si="17"/>
        <v/>
      </c>
      <c r="J199" s="12" t="str">
        <f t="shared" si="18"/>
        <v/>
      </c>
      <c r="K199" s="12" t="str">
        <f t="shared" si="19"/>
        <v/>
      </c>
      <c r="L199" s="10" t="str">
        <f>IF(Инвентаризация!C199="","",Инвентаризация!M199)</f>
        <v/>
      </c>
      <c r="M199" s="10" t="str">
        <f>IF(Инвентаризация!C199="","",Инвентаризация!N199)</f>
        <v/>
      </c>
      <c r="N199" s="10" t="str">
        <f>IF(Инвентаризация!C199="","",Инвентаризация!O199)</f>
        <v/>
      </c>
      <c r="O199" s="10" t="str">
        <f>IF(Инвентаризация!C199="","",Инвентаризация!P199)</f>
        <v/>
      </c>
      <c r="P199" s="8" t="str">
        <f>IF(Инвентаризация!C199="","",Инвентаризация!Q199)</f>
        <v/>
      </c>
    </row>
    <row r="200" spans="1:16">
      <c r="A200" s="10" t="str">
        <f>IF(Инвентаризация!C200="","",Инвентаризация!B200)</f>
        <v/>
      </c>
      <c r="B200" s="10" t="str">
        <f>IF(Инвентаризация!C200="","",Инвентаризация!C200)</f>
        <v/>
      </c>
      <c r="C200" s="5" t="str">
        <f>IF(Инвентаризация!C200="","",Инвентаризация!D200)</f>
        <v/>
      </c>
      <c r="D200" s="11" t="str">
        <f>IF(Инвентаризация!C200="","",Инвентаризация!E200)</f>
        <v/>
      </c>
      <c r="E200" s="12" t="str">
        <f>IF(Инвентаризация!C200="","",Инвентаризация!F200)</f>
        <v/>
      </c>
      <c r="F200" s="12" t="str">
        <f>IF(Инвентаризация!C200="","",Инвентаризация!G200)</f>
        <v/>
      </c>
      <c r="G200" s="12" t="str">
        <f t="shared" si="15"/>
        <v/>
      </c>
      <c r="H200" s="13" t="str">
        <f t="shared" si="16"/>
        <v/>
      </c>
      <c r="I200" s="12" t="str">
        <f t="shared" si="17"/>
        <v/>
      </c>
      <c r="J200" s="12" t="str">
        <f t="shared" si="18"/>
        <v/>
      </c>
      <c r="K200" s="12" t="str">
        <f t="shared" si="19"/>
        <v/>
      </c>
      <c r="L200" s="10" t="str">
        <f>IF(Инвентаризация!C200="","",Инвентаризация!M200)</f>
        <v/>
      </c>
      <c r="M200" s="10" t="str">
        <f>IF(Инвентаризация!C200="","",Инвентаризация!N200)</f>
        <v/>
      </c>
      <c r="N200" s="10" t="str">
        <f>IF(Инвентаризация!C200="","",Инвентаризация!O200)</f>
        <v/>
      </c>
      <c r="O200" s="10" t="str">
        <f>IF(Инвентаризация!C200="","",Инвентаризация!P200)</f>
        <v/>
      </c>
      <c r="P200" s="8" t="str">
        <f>IF(Инвентаризация!C200="","",Инвентаризация!Q200)</f>
        <v/>
      </c>
    </row>
    <row r="201" spans="1:16">
      <c r="A201" s="10" t="str">
        <f>IF(Инвентаризация!C201="","",Инвентаризация!B201)</f>
        <v/>
      </c>
      <c r="B201" s="10" t="str">
        <f>IF(Инвентаризация!C201="","",Инвентаризация!C201)</f>
        <v/>
      </c>
      <c r="C201" s="5" t="str">
        <f>IF(Инвентаризация!C201="","",Инвентаризация!D201)</f>
        <v/>
      </c>
      <c r="D201" s="11" t="str">
        <f>IF(Инвентаризация!C201="","",Инвентаризация!E201)</f>
        <v/>
      </c>
      <c r="E201" s="12" t="str">
        <f>IF(Инвентаризация!C201="","",Инвентаризация!F201)</f>
        <v/>
      </c>
      <c r="F201" s="12" t="str">
        <f>IF(Инвентаризация!C201="","",Инвентаризация!G201)</f>
        <v/>
      </c>
      <c r="G201" s="12" t="str">
        <f t="shared" si="15"/>
        <v/>
      </c>
      <c r="H201" s="13" t="str">
        <f t="shared" si="16"/>
        <v/>
      </c>
      <c r="I201" s="12" t="str">
        <f t="shared" si="17"/>
        <v/>
      </c>
      <c r="J201" s="12" t="str">
        <f t="shared" si="18"/>
        <v/>
      </c>
      <c r="K201" s="12" t="str">
        <f t="shared" si="19"/>
        <v/>
      </c>
      <c r="L201" s="10" t="str">
        <f>IF(Инвентаризация!C201="","",Инвентаризация!M201)</f>
        <v/>
      </c>
      <c r="M201" s="10" t="str">
        <f>IF(Инвентаризация!C201="","",Инвентаризация!N201)</f>
        <v/>
      </c>
      <c r="N201" s="10" t="str">
        <f>IF(Инвентаризация!C201="","",Инвентаризация!O201)</f>
        <v/>
      </c>
      <c r="O201" s="10" t="str">
        <f>IF(Инвентаризация!C201="","",Инвентаризация!P201)</f>
        <v/>
      </c>
      <c r="P201" s="8" t="str">
        <f>IF(Инвентаризация!C201="","",Инвентаризация!Q201)</f>
        <v/>
      </c>
    </row>
    <row r="202" spans="1:16">
      <c r="A202" s="10" t="str">
        <f>IF(Инвентаризация!C202="","",Инвентаризация!B202)</f>
        <v/>
      </c>
      <c r="B202" s="10" t="str">
        <f>IF(Инвентаризация!C202="","",Инвентаризация!C202)</f>
        <v/>
      </c>
      <c r="C202" s="5" t="str">
        <f>IF(Инвентаризация!C202="","",Инвентаризация!D202)</f>
        <v/>
      </c>
      <c r="D202" s="11" t="str">
        <f>IF(Инвентаризация!C202="","",Инвентаризация!E202)</f>
        <v/>
      </c>
      <c r="E202" s="12" t="str">
        <f>IF(Инвентаризация!C202="","",Инвентаризация!F202)</f>
        <v/>
      </c>
      <c r="F202" s="12" t="str">
        <f>IF(Инвентаризация!C202="","",Инвентаризация!G202)</f>
        <v/>
      </c>
      <c r="G202" s="12" t="str">
        <f t="shared" si="15"/>
        <v/>
      </c>
      <c r="H202" s="13" t="str">
        <f t="shared" si="16"/>
        <v/>
      </c>
      <c r="I202" s="12" t="str">
        <f t="shared" si="17"/>
        <v/>
      </c>
      <c r="J202" s="12" t="str">
        <f t="shared" si="18"/>
        <v/>
      </c>
      <c r="K202" s="12" t="str">
        <f t="shared" si="19"/>
        <v/>
      </c>
      <c r="L202" s="10" t="str">
        <f>IF(Инвентаризация!C202="","",Инвентаризация!M202)</f>
        <v/>
      </c>
      <c r="M202" s="10" t="str">
        <f>IF(Инвентаризация!C202="","",Инвентаризация!N202)</f>
        <v/>
      </c>
      <c r="N202" s="10" t="str">
        <f>IF(Инвентаризация!C202="","",Инвентаризация!O202)</f>
        <v/>
      </c>
      <c r="O202" s="10" t="str">
        <f>IF(Инвентаризация!C202="","",Инвентаризация!P202)</f>
        <v/>
      </c>
      <c r="P202" s="8" t="str">
        <f>IF(Инвентаризация!C202="","",Инвентаризация!Q202)</f>
        <v/>
      </c>
    </row>
    <row r="203" spans="1:16">
      <c r="A203" s="10" t="str">
        <f>IF(Инвентаризация!C203="","",Инвентаризация!B203)</f>
        <v/>
      </c>
      <c r="B203" s="10" t="str">
        <f>IF(Инвентаризация!C203="","",Инвентаризация!C203)</f>
        <v/>
      </c>
      <c r="C203" s="5" t="str">
        <f>IF(Инвентаризация!C203="","",Инвентаризация!D203)</f>
        <v/>
      </c>
      <c r="D203" s="11" t="str">
        <f>IF(Инвентаризация!C203="","",Инвентаризация!E203)</f>
        <v/>
      </c>
      <c r="E203" s="12" t="str">
        <f>IF(Инвентаризация!C203="","",Инвентаризация!F203)</f>
        <v/>
      </c>
      <c r="F203" s="12" t="str">
        <f>IF(Инвентаризация!C203="","",Инвентаризация!G203)</f>
        <v/>
      </c>
      <c r="G203" s="12" t="str">
        <f t="shared" si="15"/>
        <v/>
      </c>
      <c r="H203" s="13" t="str">
        <f t="shared" si="16"/>
        <v/>
      </c>
      <c r="I203" s="12" t="str">
        <f t="shared" si="17"/>
        <v/>
      </c>
      <c r="J203" s="12" t="str">
        <f t="shared" si="18"/>
        <v/>
      </c>
      <c r="K203" s="12" t="str">
        <f t="shared" si="19"/>
        <v/>
      </c>
      <c r="L203" s="10" t="str">
        <f>IF(Инвентаризация!C203="","",Инвентаризация!M203)</f>
        <v/>
      </c>
      <c r="M203" s="10" t="str">
        <f>IF(Инвентаризация!C203="","",Инвентаризация!N203)</f>
        <v/>
      </c>
      <c r="N203" s="10" t="str">
        <f>IF(Инвентаризация!C203="","",Инвентаризация!O203)</f>
        <v/>
      </c>
      <c r="O203" s="10" t="str">
        <f>IF(Инвентаризация!C203="","",Инвентаризация!P203)</f>
        <v/>
      </c>
      <c r="P203" s="8" t="str">
        <f>IF(Инвентаризация!C203="","",Инвентаризация!Q203)</f>
        <v/>
      </c>
    </row>
    <row r="204" spans="1:16">
      <c r="A204" s="10" t="str">
        <f>IF(Инвентаризация!C204="","",Инвентаризация!B204)</f>
        <v/>
      </c>
      <c r="B204" s="10" t="str">
        <f>IF(Инвентаризация!C204="","",Инвентаризация!C204)</f>
        <v/>
      </c>
      <c r="C204" s="5" t="str">
        <f>IF(Инвентаризация!C204="","",Инвентаризация!D204)</f>
        <v/>
      </c>
      <c r="D204" s="11" t="str">
        <f>IF(Инвентаризация!C204="","",Инвентаризация!E204)</f>
        <v/>
      </c>
      <c r="E204" s="12" t="str">
        <f>IF(Инвентаризация!C204="","",Инвентаризация!F204)</f>
        <v/>
      </c>
      <c r="F204" s="12" t="str">
        <f>IF(Инвентаризация!C204="","",Инвентаризация!G204)</f>
        <v/>
      </c>
      <c r="G204" s="12" t="str">
        <f t="shared" si="15"/>
        <v/>
      </c>
      <c r="H204" s="13" t="str">
        <f t="shared" si="16"/>
        <v/>
      </c>
      <c r="I204" s="12" t="str">
        <f t="shared" si="17"/>
        <v/>
      </c>
      <c r="J204" s="12" t="str">
        <f t="shared" si="18"/>
        <v/>
      </c>
      <c r="K204" s="12" t="str">
        <f t="shared" si="19"/>
        <v/>
      </c>
      <c r="L204" s="10" t="str">
        <f>IF(Инвентаризация!C204="","",Инвентаризация!M204)</f>
        <v/>
      </c>
      <c r="M204" s="10" t="str">
        <f>IF(Инвентаризация!C204="","",Инвентаризация!N204)</f>
        <v/>
      </c>
      <c r="N204" s="10" t="str">
        <f>IF(Инвентаризация!C204="","",Инвентаризация!O204)</f>
        <v/>
      </c>
      <c r="O204" s="10" t="str">
        <f>IF(Инвентаризация!C204="","",Инвентаризация!P204)</f>
        <v/>
      </c>
      <c r="P204" s="8" t="str">
        <f>IF(Инвентаризация!C204="","",Инвентаризация!Q204)</f>
        <v/>
      </c>
    </row>
    <row r="205" spans="1:16">
      <c r="A205" s="10" t="str">
        <f>IF(Инвентаризация!C205="","",Инвентаризация!B205)</f>
        <v/>
      </c>
      <c r="B205" s="10" t="str">
        <f>IF(Инвентаризация!C205="","",Инвентаризация!C205)</f>
        <v/>
      </c>
      <c r="C205" s="5" t="str">
        <f>IF(Инвентаризация!C205="","",Инвентаризация!D205)</f>
        <v/>
      </c>
      <c r="D205" s="11" t="str">
        <f>IF(Инвентаризация!C205="","",Инвентаризация!E205)</f>
        <v/>
      </c>
      <c r="E205" s="12" t="str">
        <f>IF(Инвентаризация!C205="","",Инвентаризация!F205)</f>
        <v/>
      </c>
      <c r="F205" s="12" t="str">
        <f>IF(Инвентаризация!C205="","",Инвентаризация!G205)</f>
        <v/>
      </c>
      <c r="G205" s="12" t="str">
        <f t="shared" si="15"/>
        <v/>
      </c>
      <c r="H205" s="13" t="str">
        <f t="shared" si="16"/>
        <v/>
      </c>
      <c r="I205" s="12" t="str">
        <f t="shared" si="17"/>
        <v/>
      </c>
      <c r="J205" s="12" t="str">
        <f t="shared" si="18"/>
        <v/>
      </c>
      <c r="K205" s="12" t="str">
        <f t="shared" si="19"/>
        <v/>
      </c>
      <c r="L205" s="10" t="str">
        <f>IF(Инвентаризация!C205="","",Инвентаризация!M205)</f>
        <v/>
      </c>
      <c r="M205" s="10" t="str">
        <f>IF(Инвентаризация!C205="","",Инвентаризация!N205)</f>
        <v/>
      </c>
      <c r="N205" s="10" t="str">
        <f>IF(Инвентаризация!C205="","",Инвентаризация!O205)</f>
        <v/>
      </c>
      <c r="O205" s="10" t="str">
        <f>IF(Инвентаризация!C205="","",Инвентаризация!P205)</f>
        <v/>
      </c>
      <c r="P205" s="8" t="str">
        <f>IF(Инвентаризация!C205="","",Инвентаризация!Q205)</f>
        <v/>
      </c>
    </row>
    <row r="206" spans="1:16">
      <c r="A206" s="10" t="str">
        <f>IF(Инвентаризация!C206="","",Инвентаризация!B206)</f>
        <v/>
      </c>
      <c r="B206" s="10" t="str">
        <f>IF(Инвентаризация!C206="","",Инвентаризация!C206)</f>
        <v/>
      </c>
      <c r="C206" s="5" t="str">
        <f>IF(Инвентаризация!C206="","",Инвентаризация!D206)</f>
        <v/>
      </c>
      <c r="D206" s="11" t="str">
        <f>IF(Инвентаризация!C206="","",Инвентаризация!E206)</f>
        <v/>
      </c>
      <c r="E206" s="12" t="str">
        <f>IF(Инвентаризация!C206="","",Инвентаризация!F206)</f>
        <v/>
      </c>
      <c r="F206" s="12" t="str">
        <f>IF(Инвентаризация!C206="","",Инвентаризация!G206)</f>
        <v/>
      </c>
      <c r="G206" s="12" t="str">
        <f t="shared" si="15"/>
        <v/>
      </c>
      <c r="H206" s="13" t="str">
        <f t="shared" si="16"/>
        <v/>
      </c>
      <c r="I206" s="12" t="str">
        <f t="shared" si="17"/>
        <v/>
      </c>
      <c r="J206" s="12" t="str">
        <f t="shared" si="18"/>
        <v/>
      </c>
      <c r="K206" s="12" t="str">
        <f t="shared" si="19"/>
        <v/>
      </c>
      <c r="L206" s="10" t="str">
        <f>IF(Инвентаризация!C206="","",Инвентаризация!M206)</f>
        <v/>
      </c>
      <c r="M206" s="10" t="str">
        <f>IF(Инвентаризация!C206="","",Инвентаризация!N206)</f>
        <v/>
      </c>
      <c r="N206" s="10" t="str">
        <f>IF(Инвентаризация!C206="","",Инвентаризация!O206)</f>
        <v/>
      </c>
      <c r="O206" s="10" t="str">
        <f>IF(Инвентаризация!C206="","",Инвентаризация!P206)</f>
        <v/>
      </c>
      <c r="P206" s="8" t="str">
        <f>IF(Инвентаризация!C206="","",Инвентаризация!Q206)</f>
        <v/>
      </c>
    </row>
    <row r="207" spans="1:16">
      <c r="A207" s="10" t="str">
        <f>IF(Инвентаризация!C207="","",Инвентаризация!B207)</f>
        <v/>
      </c>
      <c r="B207" s="10" t="str">
        <f>IF(Инвентаризация!C207="","",Инвентаризация!C207)</f>
        <v/>
      </c>
      <c r="C207" s="5" t="str">
        <f>IF(Инвентаризация!C207="","",Инвентаризация!D207)</f>
        <v/>
      </c>
      <c r="D207" s="11" t="str">
        <f>IF(Инвентаризация!C207="","",Инвентаризация!E207)</f>
        <v/>
      </c>
      <c r="E207" s="12" t="str">
        <f>IF(Инвентаризация!C207="","",Инвентаризация!F207)</f>
        <v/>
      </c>
      <c r="F207" s="12" t="str">
        <f>IF(Инвентаризация!C207="","",Инвентаризация!G207)</f>
        <v/>
      </c>
      <c r="G207" s="12" t="str">
        <f t="shared" si="15"/>
        <v/>
      </c>
      <c r="H207" s="13" t="str">
        <f t="shared" si="16"/>
        <v/>
      </c>
      <c r="I207" s="12" t="str">
        <f t="shared" si="17"/>
        <v/>
      </c>
      <c r="J207" s="12" t="str">
        <f t="shared" si="18"/>
        <v/>
      </c>
      <c r="K207" s="12" t="str">
        <f t="shared" si="19"/>
        <v/>
      </c>
      <c r="L207" s="10" t="str">
        <f>IF(Инвентаризация!C207="","",Инвентаризация!M207)</f>
        <v/>
      </c>
      <c r="M207" s="10" t="str">
        <f>IF(Инвентаризация!C207="","",Инвентаризация!N207)</f>
        <v/>
      </c>
      <c r="N207" s="10" t="str">
        <f>IF(Инвентаризация!C207="","",Инвентаризация!O207)</f>
        <v/>
      </c>
      <c r="O207" s="10" t="str">
        <f>IF(Инвентаризация!C207="","",Инвентаризация!P207)</f>
        <v/>
      </c>
      <c r="P207" s="8" t="str">
        <f>IF(Инвентаризация!C207="","",Инвентаризация!Q207)</f>
        <v/>
      </c>
    </row>
    <row r="208" spans="1:16">
      <c r="A208" s="10" t="str">
        <f>IF(Инвентаризация!C208="","",Инвентаризация!B208)</f>
        <v/>
      </c>
      <c r="B208" s="10" t="str">
        <f>IF(Инвентаризация!C208="","",Инвентаризация!C208)</f>
        <v/>
      </c>
      <c r="C208" s="5" t="str">
        <f>IF(Инвентаризация!C208="","",Инвентаризация!D208)</f>
        <v/>
      </c>
      <c r="D208" s="11" t="str">
        <f>IF(Инвентаризация!C208="","",Инвентаризация!E208)</f>
        <v/>
      </c>
      <c r="E208" s="12" t="str">
        <f>IF(Инвентаризация!C208="","",Инвентаризация!F208)</f>
        <v/>
      </c>
      <c r="F208" s="12" t="str">
        <f>IF(Инвентаризация!C208="","",Инвентаризация!G208)</f>
        <v/>
      </c>
      <c r="G208" s="12" t="str">
        <f t="shared" si="15"/>
        <v/>
      </c>
      <c r="H208" s="13" t="str">
        <f t="shared" si="16"/>
        <v/>
      </c>
      <c r="I208" s="12" t="str">
        <f t="shared" si="17"/>
        <v/>
      </c>
      <c r="J208" s="12" t="str">
        <f t="shared" si="18"/>
        <v/>
      </c>
      <c r="K208" s="12" t="str">
        <f t="shared" si="19"/>
        <v/>
      </c>
      <c r="L208" s="10" t="str">
        <f>IF(Инвентаризация!C208="","",Инвентаризация!M208)</f>
        <v/>
      </c>
      <c r="M208" s="10" t="str">
        <f>IF(Инвентаризация!C208="","",Инвентаризация!N208)</f>
        <v/>
      </c>
      <c r="N208" s="10" t="str">
        <f>IF(Инвентаризация!C208="","",Инвентаризация!O208)</f>
        <v/>
      </c>
      <c r="O208" s="10" t="str">
        <f>IF(Инвентаризация!C208="","",Инвентаризация!P208)</f>
        <v/>
      </c>
      <c r="P208" s="8" t="str">
        <f>IF(Инвентаризация!C208="","",Инвентаризация!Q208)</f>
        <v/>
      </c>
    </row>
    <row r="209" spans="1:16">
      <c r="A209" s="10" t="str">
        <f>IF(Инвентаризация!C209="","",Инвентаризация!B209)</f>
        <v/>
      </c>
      <c r="B209" s="10" t="str">
        <f>IF(Инвентаризация!C209="","",Инвентаризация!C209)</f>
        <v/>
      </c>
      <c r="C209" s="5" t="str">
        <f>IF(Инвентаризация!C209="","",Инвентаризация!D209)</f>
        <v/>
      </c>
      <c r="D209" s="11" t="str">
        <f>IF(Инвентаризация!C209="","",Инвентаризация!E209)</f>
        <v/>
      </c>
      <c r="E209" s="12" t="str">
        <f>IF(Инвентаризация!C209="","",Инвентаризация!F209)</f>
        <v/>
      </c>
      <c r="F209" s="12" t="str">
        <f>IF(Инвентаризация!C209="","",Инвентаризация!G209)</f>
        <v/>
      </c>
      <c r="G209" s="12" t="str">
        <f t="shared" si="15"/>
        <v/>
      </c>
      <c r="H209" s="13" t="str">
        <f t="shared" si="16"/>
        <v/>
      </c>
      <c r="I209" s="12" t="str">
        <f t="shared" si="17"/>
        <v/>
      </c>
      <c r="J209" s="12" t="str">
        <f t="shared" si="18"/>
        <v/>
      </c>
      <c r="K209" s="12" t="str">
        <f t="shared" si="19"/>
        <v/>
      </c>
      <c r="L209" s="10" t="str">
        <f>IF(Инвентаризация!C209="","",Инвентаризация!M209)</f>
        <v/>
      </c>
      <c r="M209" s="10" t="str">
        <f>IF(Инвентаризация!C209="","",Инвентаризация!N209)</f>
        <v/>
      </c>
      <c r="N209" s="10" t="str">
        <f>IF(Инвентаризация!C209="","",Инвентаризация!O209)</f>
        <v/>
      </c>
      <c r="O209" s="10" t="str">
        <f>IF(Инвентаризация!C209="","",Инвентаризация!P209)</f>
        <v/>
      </c>
      <c r="P209" s="8" t="str">
        <f>IF(Инвентаризация!C209="","",Инвентаризация!Q209)</f>
        <v/>
      </c>
    </row>
    <row r="210" spans="1:16">
      <c r="A210" s="10" t="str">
        <f>IF(Инвентаризация!C210="","",Инвентаризация!B210)</f>
        <v/>
      </c>
      <c r="B210" s="10" t="str">
        <f>IF(Инвентаризация!C210="","",Инвентаризация!C210)</f>
        <v/>
      </c>
      <c r="C210" s="5" t="str">
        <f>IF(Инвентаризация!C210="","",Инвентаризация!D210)</f>
        <v/>
      </c>
      <c r="D210" s="11" t="str">
        <f>IF(Инвентаризация!C210="","",Инвентаризация!E210)</f>
        <v/>
      </c>
      <c r="E210" s="12" t="str">
        <f>IF(Инвентаризация!C210="","",Инвентаризация!F210)</f>
        <v/>
      </c>
      <c r="F210" s="12" t="str">
        <f>IF(Инвентаризация!C210="","",Инвентаризация!G210)</f>
        <v/>
      </c>
      <c r="G210" s="12" t="str">
        <f t="shared" si="15"/>
        <v/>
      </c>
      <c r="H210" s="13" t="str">
        <f t="shared" si="16"/>
        <v/>
      </c>
      <c r="I210" s="12" t="str">
        <f t="shared" si="17"/>
        <v/>
      </c>
      <c r="J210" s="12" t="str">
        <f t="shared" si="18"/>
        <v/>
      </c>
      <c r="K210" s="12" t="str">
        <f t="shared" si="19"/>
        <v/>
      </c>
      <c r="L210" s="10" t="str">
        <f>IF(Инвентаризация!C210="","",Инвентаризация!M210)</f>
        <v/>
      </c>
      <c r="M210" s="10" t="str">
        <f>IF(Инвентаризация!C210="","",Инвентаризация!N210)</f>
        <v/>
      </c>
      <c r="N210" s="10" t="str">
        <f>IF(Инвентаризация!C210="","",Инвентаризация!O210)</f>
        <v/>
      </c>
      <c r="O210" s="10" t="str">
        <f>IF(Инвентаризация!C210="","",Инвентаризация!P210)</f>
        <v/>
      </c>
      <c r="P210" s="8" t="str">
        <f>IF(Инвентаризация!C210="","",Инвентаризация!Q210)</f>
        <v/>
      </c>
    </row>
    <row r="211" spans="1:16">
      <c r="A211" s="10" t="str">
        <f>IF(Инвентаризация!C211="","",Инвентаризация!B211)</f>
        <v/>
      </c>
      <c r="B211" s="10" t="str">
        <f>IF(Инвентаризация!C211="","",Инвентаризация!C211)</f>
        <v/>
      </c>
      <c r="C211" s="5" t="str">
        <f>IF(Инвентаризация!C211="","",Инвентаризация!D211)</f>
        <v/>
      </c>
      <c r="D211" s="11" t="str">
        <f>IF(Инвентаризация!C211="","",Инвентаризация!E211)</f>
        <v/>
      </c>
      <c r="E211" s="12" t="str">
        <f>IF(Инвентаризация!C211="","",Инвентаризация!F211)</f>
        <v/>
      </c>
      <c r="F211" s="12" t="str">
        <f>IF(Инвентаризация!C211="","",Инвентаризация!G211)</f>
        <v/>
      </c>
      <c r="G211" s="12" t="str">
        <f t="shared" si="15"/>
        <v/>
      </c>
      <c r="H211" s="13" t="str">
        <f t="shared" si="16"/>
        <v/>
      </c>
      <c r="I211" s="12" t="str">
        <f t="shared" si="17"/>
        <v/>
      </c>
      <c r="J211" s="12" t="str">
        <f t="shared" si="18"/>
        <v/>
      </c>
      <c r="K211" s="12" t="str">
        <f t="shared" si="19"/>
        <v/>
      </c>
      <c r="L211" s="10" t="str">
        <f>IF(Инвентаризация!C211="","",Инвентаризация!M211)</f>
        <v/>
      </c>
      <c r="M211" s="10" t="str">
        <f>IF(Инвентаризация!C211="","",Инвентаризация!N211)</f>
        <v/>
      </c>
      <c r="N211" s="10" t="str">
        <f>IF(Инвентаризация!C211="","",Инвентаризация!O211)</f>
        <v/>
      </c>
      <c r="O211" s="10" t="str">
        <f>IF(Инвентаризация!C211="","",Инвентаризация!P211)</f>
        <v/>
      </c>
      <c r="P211" s="8" t="str">
        <f>IF(Инвентаризация!C211="","",Инвентаризация!Q211)</f>
        <v/>
      </c>
    </row>
    <row r="212" spans="1:16">
      <c r="A212" s="10" t="str">
        <f>IF(Инвентаризация!C212="","",Инвентаризация!B212)</f>
        <v/>
      </c>
      <c r="B212" s="10" t="str">
        <f>IF(Инвентаризация!C212="","",Инвентаризация!C212)</f>
        <v/>
      </c>
      <c r="C212" s="5" t="str">
        <f>IF(Инвентаризация!C212="","",Инвентаризация!D212)</f>
        <v/>
      </c>
      <c r="D212" s="11" t="str">
        <f>IF(Инвентаризация!C212="","",Инвентаризация!E212)</f>
        <v/>
      </c>
      <c r="E212" s="12" t="str">
        <f>IF(Инвентаризация!C212="","",Инвентаризация!F212)</f>
        <v/>
      </c>
      <c r="F212" s="12" t="str">
        <f>IF(Инвентаризация!C212="","",Инвентаризация!G212)</f>
        <v/>
      </c>
      <c r="G212" s="12" t="str">
        <f t="shared" si="15"/>
        <v/>
      </c>
      <c r="H212" s="13" t="str">
        <f t="shared" si="16"/>
        <v/>
      </c>
      <c r="I212" s="12" t="str">
        <f t="shared" si="17"/>
        <v/>
      </c>
      <c r="J212" s="12" t="str">
        <f t="shared" si="18"/>
        <v/>
      </c>
      <c r="K212" s="12" t="str">
        <f t="shared" si="19"/>
        <v/>
      </c>
      <c r="L212" s="10" t="str">
        <f>IF(Инвентаризация!C212="","",Инвентаризация!M212)</f>
        <v/>
      </c>
      <c r="M212" s="10" t="str">
        <f>IF(Инвентаризация!C212="","",Инвентаризация!N212)</f>
        <v/>
      </c>
      <c r="N212" s="10" t="str">
        <f>IF(Инвентаризация!C212="","",Инвентаризация!O212)</f>
        <v/>
      </c>
      <c r="O212" s="10" t="str">
        <f>IF(Инвентаризация!C212="","",Инвентаризация!P212)</f>
        <v/>
      </c>
      <c r="P212" s="8" t="str">
        <f>IF(Инвентаризация!C212="","",Инвентаризация!Q212)</f>
        <v/>
      </c>
    </row>
    <row r="213" spans="1:16">
      <c r="A213" s="10" t="str">
        <f>IF(Инвентаризация!C213="","",Инвентаризация!B213)</f>
        <v/>
      </c>
      <c r="B213" s="10" t="str">
        <f>IF(Инвентаризация!C213="","",Инвентаризация!C213)</f>
        <v/>
      </c>
      <c r="C213" s="5" t="str">
        <f>IF(Инвентаризация!C213="","",Инвентаризация!D213)</f>
        <v/>
      </c>
      <c r="D213" s="11" t="str">
        <f>IF(Инвентаризация!C213="","",Инвентаризация!E213)</f>
        <v/>
      </c>
      <c r="E213" s="12" t="str">
        <f>IF(Инвентаризация!C213="","",Инвентаризация!F213)</f>
        <v/>
      </c>
      <c r="F213" s="12" t="str">
        <f>IF(Инвентаризация!C213="","",Инвентаризация!G213)</f>
        <v/>
      </c>
      <c r="G213" s="12" t="str">
        <f t="shared" si="15"/>
        <v/>
      </c>
      <c r="H213" s="13" t="str">
        <f t="shared" si="16"/>
        <v/>
      </c>
      <c r="I213" s="12" t="str">
        <f t="shared" si="17"/>
        <v/>
      </c>
      <c r="J213" s="12" t="str">
        <f t="shared" si="18"/>
        <v/>
      </c>
      <c r="K213" s="12" t="str">
        <f t="shared" si="19"/>
        <v/>
      </c>
      <c r="L213" s="10" t="str">
        <f>IF(Инвентаризация!C213="","",Инвентаризация!M213)</f>
        <v/>
      </c>
      <c r="M213" s="10" t="str">
        <f>IF(Инвентаризация!C213="","",Инвентаризация!N213)</f>
        <v/>
      </c>
      <c r="N213" s="10" t="str">
        <f>IF(Инвентаризация!C213="","",Инвентаризация!O213)</f>
        <v/>
      </c>
      <c r="O213" s="10" t="str">
        <f>IF(Инвентаризация!C213="","",Инвентаризация!P213)</f>
        <v/>
      </c>
      <c r="P213" s="8" t="str">
        <f>IF(Инвентаризация!C213="","",Инвентаризация!Q213)</f>
        <v/>
      </c>
    </row>
    <row r="214" spans="1:16">
      <c r="A214" s="10" t="str">
        <f>IF(Инвентаризация!C214="","",Инвентаризация!B214)</f>
        <v/>
      </c>
      <c r="B214" s="10" t="str">
        <f>IF(Инвентаризация!C214="","",Инвентаризация!C214)</f>
        <v/>
      </c>
      <c r="C214" s="5" t="str">
        <f>IF(Инвентаризация!C214="","",Инвентаризация!D214)</f>
        <v/>
      </c>
      <c r="D214" s="11" t="str">
        <f>IF(Инвентаризация!C214="","",Инвентаризация!E214)</f>
        <v/>
      </c>
      <c r="E214" s="12" t="str">
        <f>IF(Инвентаризация!C214="","",Инвентаризация!F214)</f>
        <v/>
      </c>
      <c r="F214" s="12" t="str">
        <f>IF(Инвентаризация!C214="","",Инвентаризация!G214)</f>
        <v/>
      </c>
      <c r="G214" s="12" t="str">
        <f t="shared" si="15"/>
        <v/>
      </c>
      <c r="H214" s="13" t="str">
        <f t="shared" si="16"/>
        <v/>
      </c>
      <c r="I214" s="12" t="str">
        <f t="shared" si="17"/>
        <v/>
      </c>
      <c r="J214" s="12" t="str">
        <f t="shared" si="18"/>
        <v/>
      </c>
      <c r="K214" s="12" t="str">
        <f t="shared" si="19"/>
        <v/>
      </c>
      <c r="L214" s="10" t="str">
        <f>IF(Инвентаризация!C214="","",Инвентаризация!M214)</f>
        <v/>
      </c>
      <c r="M214" s="10" t="str">
        <f>IF(Инвентаризация!C214="","",Инвентаризация!N214)</f>
        <v/>
      </c>
      <c r="N214" s="10" t="str">
        <f>IF(Инвентаризация!C214="","",Инвентаризация!O214)</f>
        <v/>
      </c>
      <c r="O214" s="10" t="str">
        <f>IF(Инвентаризация!C214="","",Инвентаризация!P214)</f>
        <v/>
      </c>
      <c r="P214" s="8" t="str">
        <f>IF(Инвентаризация!C214="","",Инвентаризация!Q214)</f>
        <v/>
      </c>
    </row>
    <row r="215" spans="1:16">
      <c r="A215" s="10" t="str">
        <f>IF(Инвентаризация!C215="","",Инвентаризация!B215)</f>
        <v/>
      </c>
      <c r="B215" s="10" t="str">
        <f>IF(Инвентаризация!C215="","",Инвентаризация!C215)</f>
        <v/>
      </c>
      <c r="C215" s="5" t="str">
        <f>IF(Инвентаризация!C215="","",Инвентаризация!D215)</f>
        <v/>
      </c>
      <c r="D215" s="11" t="str">
        <f>IF(Инвентаризация!C215="","",Инвентаризация!E215)</f>
        <v/>
      </c>
      <c r="E215" s="12" t="str">
        <f>IF(Инвентаризация!C215="","",Инвентаризация!F215)</f>
        <v/>
      </c>
      <c r="F215" s="12" t="str">
        <f>IF(Инвентаризация!C215="","",Инвентаризация!G215)</f>
        <v/>
      </c>
      <c r="G215" s="12" t="str">
        <f t="shared" si="15"/>
        <v/>
      </c>
      <c r="H215" s="13" t="str">
        <f t="shared" si="16"/>
        <v/>
      </c>
      <c r="I215" s="12" t="str">
        <f t="shared" si="17"/>
        <v/>
      </c>
      <c r="J215" s="12" t="str">
        <f t="shared" si="18"/>
        <v/>
      </c>
      <c r="K215" s="12" t="str">
        <f t="shared" si="19"/>
        <v/>
      </c>
      <c r="L215" s="10" t="str">
        <f>IF(Инвентаризация!C215="","",Инвентаризация!M215)</f>
        <v/>
      </c>
      <c r="M215" s="10" t="str">
        <f>IF(Инвентаризация!C215="","",Инвентаризация!N215)</f>
        <v/>
      </c>
      <c r="N215" s="10" t="str">
        <f>IF(Инвентаризация!C215="","",Инвентаризация!O215)</f>
        <v/>
      </c>
      <c r="O215" s="10" t="str">
        <f>IF(Инвентаризация!C215="","",Инвентаризация!P215)</f>
        <v/>
      </c>
      <c r="P215" s="8" t="str">
        <f>IF(Инвентаризация!C215="","",Инвентаризация!Q215)</f>
        <v/>
      </c>
    </row>
    <row r="216" spans="1:16">
      <c r="A216" s="10" t="str">
        <f>IF(Инвентаризация!C216="","",Инвентаризация!B216)</f>
        <v/>
      </c>
      <c r="B216" s="10" t="str">
        <f>IF(Инвентаризация!C216="","",Инвентаризация!C216)</f>
        <v/>
      </c>
      <c r="C216" s="5" t="str">
        <f>IF(Инвентаризация!C216="","",Инвентаризация!D216)</f>
        <v/>
      </c>
      <c r="D216" s="11" t="str">
        <f>IF(Инвентаризация!C216="","",Инвентаризация!E216)</f>
        <v/>
      </c>
      <c r="E216" s="12" t="str">
        <f>IF(Инвентаризация!C216="","",Инвентаризация!F216)</f>
        <v/>
      </c>
      <c r="F216" s="12" t="str">
        <f>IF(Инвентаризация!C216="","",Инвентаризация!G216)</f>
        <v/>
      </c>
      <c r="G216" s="12" t="str">
        <f t="shared" si="15"/>
        <v/>
      </c>
      <c r="H216" s="13" t="str">
        <f t="shared" si="16"/>
        <v/>
      </c>
      <c r="I216" s="12" t="str">
        <f t="shared" si="17"/>
        <v/>
      </c>
      <c r="J216" s="12" t="str">
        <f t="shared" si="18"/>
        <v/>
      </c>
      <c r="K216" s="12" t="str">
        <f t="shared" si="19"/>
        <v/>
      </c>
      <c r="L216" s="10" t="str">
        <f>IF(Инвентаризация!C216="","",Инвентаризация!M216)</f>
        <v/>
      </c>
      <c r="M216" s="10" t="str">
        <f>IF(Инвентаризация!C216="","",Инвентаризация!N216)</f>
        <v/>
      </c>
      <c r="N216" s="10" t="str">
        <f>IF(Инвентаризация!C216="","",Инвентаризация!O216)</f>
        <v/>
      </c>
      <c r="O216" s="10" t="str">
        <f>IF(Инвентаризация!C216="","",Инвентаризация!P216)</f>
        <v/>
      </c>
      <c r="P216" s="8" t="str">
        <f>IF(Инвентаризация!C216="","",Инвентаризация!Q216)</f>
        <v/>
      </c>
    </row>
    <row r="217" spans="1:16">
      <c r="A217" s="10" t="str">
        <f>IF(Инвентаризация!C217="","",Инвентаризация!B217)</f>
        <v/>
      </c>
      <c r="B217" s="10" t="str">
        <f>IF(Инвентаризация!C217="","",Инвентаризация!C217)</f>
        <v/>
      </c>
      <c r="C217" s="5" t="str">
        <f>IF(Инвентаризация!C217="","",Инвентаризация!D217)</f>
        <v/>
      </c>
      <c r="D217" s="11" t="str">
        <f>IF(Инвентаризация!C217="","",Инвентаризация!E217)</f>
        <v/>
      </c>
      <c r="E217" s="12" t="str">
        <f>IF(Инвентаризация!C217="","",Инвентаризация!F217)</f>
        <v/>
      </c>
      <c r="F217" s="12" t="str">
        <f>IF(Инвентаризация!C217="","",Инвентаризация!G217)</f>
        <v/>
      </c>
      <c r="G217" s="12" t="str">
        <f t="shared" si="15"/>
        <v/>
      </c>
      <c r="H217" s="13" t="str">
        <f t="shared" si="16"/>
        <v/>
      </c>
      <c r="I217" s="12" t="str">
        <f t="shared" si="17"/>
        <v/>
      </c>
      <c r="J217" s="12" t="str">
        <f t="shared" si="18"/>
        <v/>
      </c>
      <c r="K217" s="12" t="str">
        <f t="shared" si="19"/>
        <v/>
      </c>
      <c r="L217" s="10" t="str">
        <f>IF(Инвентаризация!C217="","",Инвентаризация!M217)</f>
        <v/>
      </c>
      <c r="M217" s="10" t="str">
        <f>IF(Инвентаризация!C217="","",Инвентаризация!N217)</f>
        <v/>
      </c>
      <c r="N217" s="10" t="str">
        <f>IF(Инвентаризация!C217="","",Инвентаризация!O217)</f>
        <v/>
      </c>
      <c r="O217" s="10" t="str">
        <f>IF(Инвентаризация!C217="","",Инвентаризация!P217)</f>
        <v/>
      </c>
      <c r="P217" s="8" t="str">
        <f>IF(Инвентаризация!C217="","",Инвентаризация!Q217)</f>
        <v/>
      </c>
    </row>
    <row r="218" spans="1:16">
      <c r="A218" s="10" t="str">
        <f>IF(Инвентаризация!C218="","",Инвентаризация!B218)</f>
        <v/>
      </c>
      <c r="B218" s="10" t="str">
        <f>IF(Инвентаризация!C218="","",Инвентаризация!C218)</f>
        <v/>
      </c>
      <c r="C218" s="5" t="str">
        <f>IF(Инвентаризация!C218="","",Инвентаризация!D218)</f>
        <v/>
      </c>
      <c r="D218" s="11" t="str">
        <f>IF(Инвентаризация!C218="","",Инвентаризация!E218)</f>
        <v/>
      </c>
      <c r="E218" s="12" t="str">
        <f>IF(Инвентаризация!C218="","",Инвентаризация!F218)</f>
        <v/>
      </c>
      <c r="F218" s="12" t="str">
        <f>IF(Инвентаризация!C218="","",Инвентаризация!G218)</f>
        <v/>
      </c>
      <c r="G218" s="12" t="str">
        <f t="shared" si="15"/>
        <v/>
      </c>
      <c r="H218" s="13" t="str">
        <f t="shared" si="16"/>
        <v/>
      </c>
      <c r="I218" s="12" t="str">
        <f t="shared" si="17"/>
        <v/>
      </c>
      <c r="J218" s="12" t="str">
        <f t="shared" si="18"/>
        <v/>
      </c>
      <c r="K218" s="12" t="str">
        <f t="shared" si="19"/>
        <v/>
      </c>
      <c r="L218" s="10" t="str">
        <f>IF(Инвентаризация!C218="","",Инвентаризация!M218)</f>
        <v/>
      </c>
      <c r="M218" s="10" t="str">
        <f>IF(Инвентаризация!C218="","",Инвентаризация!N218)</f>
        <v/>
      </c>
      <c r="N218" s="10" t="str">
        <f>IF(Инвентаризация!C218="","",Инвентаризация!O218)</f>
        <v/>
      </c>
      <c r="O218" s="10" t="str">
        <f>IF(Инвентаризация!C218="","",Инвентаризация!P218)</f>
        <v/>
      </c>
      <c r="P218" s="8" t="str">
        <f>IF(Инвентаризация!C218="","",Инвентаризация!Q218)</f>
        <v/>
      </c>
    </row>
    <row r="219" spans="1:16">
      <c r="A219" s="10" t="str">
        <f>IF(Инвентаризация!C219="","",Инвентаризация!B219)</f>
        <v/>
      </c>
      <c r="B219" s="10" t="str">
        <f>IF(Инвентаризация!C219="","",Инвентаризация!C219)</f>
        <v/>
      </c>
      <c r="C219" s="5" t="str">
        <f>IF(Инвентаризация!C219="","",Инвентаризация!D219)</f>
        <v/>
      </c>
      <c r="D219" s="11" t="str">
        <f>IF(Инвентаризация!C219="","",Инвентаризация!E219)</f>
        <v/>
      </c>
      <c r="E219" s="12" t="str">
        <f>IF(Инвентаризация!C219="","",Инвентаризация!F219)</f>
        <v/>
      </c>
      <c r="F219" s="12" t="str">
        <f>IF(Инвентаризация!C219="","",Инвентаризация!G219)</f>
        <v/>
      </c>
      <c r="G219" s="12" t="str">
        <f t="shared" si="15"/>
        <v/>
      </c>
      <c r="H219" s="13" t="str">
        <f t="shared" si="16"/>
        <v/>
      </c>
      <c r="I219" s="12" t="str">
        <f t="shared" si="17"/>
        <v/>
      </c>
      <c r="J219" s="12" t="str">
        <f t="shared" si="18"/>
        <v/>
      </c>
      <c r="K219" s="12" t="str">
        <f t="shared" si="19"/>
        <v/>
      </c>
      <c r="L219" s="10" t="str">
        <f>IF(Инвентаризация!C219="","",Инвентаризация!M219)</f>
        <v/>
      </c>
      <c r="M219" s="10" t="str">
        <f>IF(Инвентаризация!C219="","",Инвентаризация!N219)</f>
        <v/>
      </c>
      <c r="N219" s="10" t="str">
        <f>IF(Инвентаризация!C219="","",Инвентаризация!O219)</f>
        <v/>
      </c>
      <c r="O219" s="10" t="str">
        <f>IF(Инвентаризация!C219="","",Инвентаризация!P219)</f>
        <v/>
      </c>
      <c r="P219" s="8" t="str">
        <f>IF(Инвентаризация!C219="","",Инвентаризация!Q219)</f>
        <v/>
      </c>
    </row>
    <row r="220" spans="1:16">
      <c r="A220" s="10" t="str">
        <f>IF(Инвентаризация!C220="","",Инвентаризация!B220)</f>
        <v/>
      </c>
      <c r="B220" s="10" t="str">
        <f>IF(Инвентаризация!C220="","",Инвентаризация!C220)</f>
        <v/>
      </c>
      <c r="C220" s="5" t="str">
        <f>IF(Инвентаризация!C220="","",Инвентаризация!D220)</f>
        <v/>
      </c>
      <c r="D220" s="11" t="str">
        <f>IF(Инвентаризация!C220="","",Инвентаризация!E220)</f>
        <v/>
      </c>
      <c r="E220" s="12" t="str">
        <f>IF(Инвентаризация!C220="","",Инвентаризация!F220)</f>
        <v/>
      </c>
      <c r="F220" s="12" t="str">
        <f>IF(Инвентаризация!C220="","",Инвентаризация!G220)</f>
        <v/>
      </c>
      <c r="G220" s="12" t="str">
        <f t="shared" si="15"/>
        <v/>
      </c>
      <c r="H220" s="13" t="str">
        <f t="shared" si="16"/>
        <v/>
      </c>
      <c r="I220" s="12" t="str">
        <f t="shared" si="17"/>
        <v/>
      </c>
      <c r="J220" s="12" t="str">
        <f t="shared" si="18"/>
        <v/>
      </c>
      <c r="K220" s="12" t="str">
        <f t="shared" si="19"/>
        <v/>
      </c>
      <c r="L220" s="10" t="str">
        <f>IF(Инвентаризация!C220="","",Инвентаризация!M220)</f>
        <v/>
      </c>
      <c r="M220" s="10" t="str">
        <f>IF(Инвентаризация!C220="","",Инвентаризация!N220)</f>
        <v/>
      </c>
      <c r="N220" s="10" t="str">
        <f>IF(Инвентаризация!C220="","",Инвентаризация!O220)</f>
        <v/>
      </c>
      <c r="O220" s="10" t="str">
        <f>IF(Инвентаризация!C220="","",Инвентаризация!P220)</f>
        <v/>
      </c>
      <c r="P220" s="8" t="str">
        <f>IF(Инвентаризация!C220="","",Инвентаризация!Q220)</f>
        <v/>
      </c>
    </row>
    <row r="221" spans="1:16">
      <c r="A221" s="10" t="str">
        <f>IF(Инвентаризация!C221="","",Инвентаризация!B221)</f>
        <v/>
      </c>
      <c r="B221" s="10" t="str">
        <f>IF(Инвентаризация!C221="","",Инвентаризация!C221)</f>
        <v/>
      </c>
      <c r="C221" s="5" t="str">
        <f>IF(Инвентаризация!C221="","",Инвентаризация!D221)</f>
        <v/>
      </c>
      <c r="D221" s="11" t="str">
        <f>IF(Инвентаризация!C221="","",Инвентаризация!E221)</f>
        <v/>
      </c>
      <c r="E221" s="12" t="str">
        <f>IF(Инвентаризация!C221="","",Инвентаризация!F221)</f>
        <v/>
      </c>
      <c r="F221" s="12" t="str">
        <f>IF(Инвентаризация!C221="","",Инвентаризация!G221)</f>
        <v/>
      </c>
      <c r="G221" s="12" t="str">
        <f t="shared" si="15"/>
        <v/>
      </c>
      <c r="H221" s="13" t="str">
        <f t="shared" si="16"/>
        <v/>
      </c>
      <c r="I221" s="12" t="str">
        <f t="shared" si="17"/>
        <v/>
      </c>
      <c r="J221" s="12" t="str">
        <f t="shared" si="18"/>
        <v/>
      </c>
      <c r="K221" s="12" t="str">
        <f t="shared" si="19"/>
        <v/>
      </c>
      <c r="L221" s="10" t="str">
        <f>IF(Инвентаризация!C221="","",Инвентаризация!M221)</f>
        <v/>
      </c>
      <c r="M221" s="10" t="str">
        <f>IF(Инвентаризация!C221="","",Инвентаризация!N221)</f>
        <v/>
      </c>
      <c r="N221" s="10" t="str">
        <f>IF(Инвентаризация!C221="","",Инвентаризация!O221)</f>
        <v/>
      </c>
      <c r="O221" s="10" t="str">
        <f>IF(Инвентаризация!C221="","",Инвентаризация!P221)</f>
        <v/>
      </c>
      <c r="P221" s="8" t="str">
        <f>IF(Инвентаризация!C221="","",Инвентаризация!Q221)</f>
        <v/>
      </c>
    </row>
    <row r="222" spans="1:16">
      <c r="A222" s="10" t="str">
        <f>IF(Инвентаризация!C222="","",Инвентаризация!B222)</f>
        <v/>
      </c>
      <c r="B222" s="10" t="str">
        <f>IF(Инвентаризация!C222="","",Инвентаризация!C222)</f>
        <v/>
      </c>
      <c r="C222" s="5" t="str">
        <f>IF(Инвентаризация!C222="","",Инвентаризация!D222)</f>
        <v/>
      </c>
      <c r="D222" s="11" t="str">
        <f>IF(Инвентаризация!C222="","",Инвентаризация!E222)</f>
        <v/>
      </c>
      <c r="E222" s="12" t="str">
        <f>IF(Инвентаризация!C222="","",Инвентаризация!F222)</f>
        <v/>
      </c>
      <c r="F222" s="12" t="str">
        <f>IF(Инвентаризация!C222="","",Инвентаризация!G222)</f>
        <v/>
      </c>
      <c r="G222" s="12" t="str">
        <f t="shared" si="15"/>
        <v/>
      </c>
      <c r="H222" s="13" t="str">
        <f t="shared" si="16"/>
        <v/>
      </c>
      <c r="I222" s="12" t="str">
        <f t="shared" si="17"/>
        <v/>
      </c>
      <c r="J222" s="12" t="str">
        <f t="shared" si="18"/>
        <v/>
      </c>
      <c r="K222" s="12" t="str">
        <f t="shared" si="19"/>
        <v/>
      </c>
      <c r="L222" s="10" t="str">
        <f>IF(Инвентаризация!C222="","",Инвентаризация!M222)</f>
        <v/>
      </c>
      <c r="M222" s="10" t="str">
        <f>IF(Инвентаризация!C222="","",Инвентаризация!N222)</f>
        <v/>
      </c>
      <c r="N222" s="10" t="str">
        <f>IF(Инвентаризация!C222="","",Инвентаризация!O222)</f>
        <v/>
      </c>
      <c r="O222" s="10" t="str">
        <f>IF(Инвентаризация!C222="","",Инвентаризация!P222)</f>
        <v/>
      </c>
      <c r="P222" s="8" t="str">
        <f>IF(Инвентаризация!C222="","",Инвентаризация!Q222)</f>
        <v/>
      </c>
    </row>
    <row r="223" spans="1:16">
      <c r="A223" s="10" t="str">
        <f>IF(Инвентаризация!C223="","",Инвентаризация!B223)</f>
        <v/>
      </c>
      <c r="B223" s="10" t="str">
        <f>IF(Инвентаризация!C223="","",Инвентаризация!C223)</f>
        <v/>
      </c>
      <c r="C223" s="5" t="str">
        <f>IF(Инвентаризация!C223="","",Инвентаризация!D223)</f>
        <v/>
      </c>
      <c r="D223" s="11" t="str">
        <f>IF(Инвентаризация!C223="","",Инвентаризация!E223)</f>
        <v/>
      </c>
      <c r="E223" s="12" t="str">
        <f>IF(Инвентаризация!C223="","",Инвентаризация!F223)</f>
        <v/>
      </c>
      <c r="F223" s="12" t="str">
        <f>IF(Инвентаризация!C223="","",Инвентаризация!G223)</f>
        <v/>
      </c>
      <c r="G223" s="12" t="str">
        <f t="shared" si="15"/>
        <v/>
      </c>
      <c r="H223" s="13" t="str">
        <f t="shared" si="16"/>
        <v/>
      </c>
      <c r="I223" s="12" t="str">
        <f t="shared" si="17"/>
        <v/>
      </c>
      <c r="J223" s="12" t="str">
        <f t="shared" si="18"/>
        <v/>
      </c>
      <c r="K223" s="12" t="str">
        <f t="shared" si="19"/>
        <v/>
      </c>
      <c r="L223" s="10" t="str">
        <f>IF(Инвентаризация!C223="","",Инвентаризация!M223)</f>
        <v/>
      </c>
      <c r="M223" s="10" t="str">
        <f>IF(Инвентаризация!C223="","",Инвентаризация!N223)</f>
        <v/>
      </c>
      <c r="N223" s="10" t="str">
        <f>IF(Инвентаризация!C223="","",Инвентаризация!O223)</f>
        <v/>
      </c>
      <c r="O223" s="10" t="str">
        <f>IF(Инвентаризация!C223="","",Инвентаризация!P223)</f>
        <v/>
      </c>
      <c r="P223" s="8" t="str">
        <f>IF(Инвентаризация!C223="","",Инвентаризация!Q223)</f>
        <v/>
      </c>
    </row>
    <row r="224" spans="1:16">
      <c r="A224" s="10" t="str">
        <f>IF(Инвентаризация!C224="","",Инвентаризация!B224)</f>
        <v/>
      </c>
      <c r="B224" s="10" t="str">
        <f>IF(Инвентаризация!C224="","",Инвентаризация!C224)</f>
        <v/>
      </c>
      <c r="C224" s="5" t="str">
        <f>IF(Инвентаризация!C224="","",Инвентаризация!D224)</f>
        <v/>
      </c>
      <c r="D224" s="11" t="str">
        <f>IF(Инвентаризация!C224="","",Инвентаризация!E224)</f>
        <v/>
      </c>
      <c r="E224" s="12" t="str">
        <f>IF(Инвентаризация!C224="","",Инвентаризация!F224)</f>
        <v/>
      </c>
      <c r="F224" s="12" t="str">
        <f>IF(Инвентаризация!C224="","",Инвентаризация!G224)</f>
        <v/>
      </c>
      <c r="G224" s="12" t="str">
        <f t="shared" si="15"/>
        <v/>
      </c>
      <c r="H224" s="13" t="str">
        <f t="shared" si="16"/>
        <v/>
      </c>
      <c r="I224" s="12" t="str">
        <f t="shared" si="17"/>
        <v/>
      </c>
      <c r="J224" s="12" t="str">
        <f t="shared" si="18"/>
        <v/>
      </c>
      <c r="K224" s="12" t="str">
        <f t="shared" si="19"/>
        <v/>
      </c>
      <c r="L224" s="10" t="str">
        <f>IF(Инвентаризация!C224="","",Инвентаризация!M224)</f>
        <v/>
      </c>
      <c r="M224" s="10" t="str">
        <f>IF(Инвентаризация!C224="","",Инвентаризация!N224)</f>
        <v/>
      </c>
      <c r="N224" s="10" t="str">
        <f>IF(Инвентаризация!C224="","",Инвентаризация!O224)</f>
        <v/>
      </c>
      <c r="O224" s="10" t="str">
        <f>IF(Инвентаризация!C224="","",Инвентаризация!P224)</f>
        <v/>
      </c>
      <c r="P224" s="8" t="str">
        <f>IF(Инвентаризация!C224="","",Инвентаризация!Q224)</f>
        <v/>
      </c>
    </row>
    <row r="225" spans="1:16">
      <c r="A225" s="10" t="str">
        <f>IF(Инвентаризация!C225="","",Инвентаризация!B225)</f>
        <v/>
      </c>
      <c r="B225" s="10" t="str">
        <f>IF(Инвентаризация!C225="","",Инвентаризация!C225)</f>
        <v/>
      </c>
      <c r="C225" s="5" t="str">
        <f>IF(Инвентаризация!C225="","",Инвентаризация!D225)</f>
        <v/>
      </c>
      <c r="D225" s="11" t="str">
        <f>IF(Инвентаризация!C225="","",Инвентаризация!E225)</f>
        <v/>
      </c>
      <c r="E225" s="12" t="str">
        <f>IF(Инвентаризация!C225="","",Инвентаризация!F225)</f>
        <v/>
      </c>
      <c r="F225" s="12" t="str">
        <f>IF(Инвентаризация!C225="","",Инвентаризация!G225)</f>
        <v/>
      </c>
      <c r="G225" s="12" t="str">
        <f t="shared" si="15"/>
        <v/>
      </c>
      <c r="H225" s="13" t="str">
        <f t="shared" si="16"/>
        <v/>
      </c>
      <c r="I225" s="12" t="str">
        <f t="shared" si="17"/>
        <v/>
      </c>
      <c r="J225" s="12" t="str">
        <f t="shared" si="18"/>
        <v/>
      </c>
      <c r="K225" s="12" t="str">
        <f t="shared" si="19"/>
        <v/>
      </c>
      <c r="L225" s="10" t="str">
        <f>IF(Инвентаризация!C225="","",Инвентаризация!M225)</f>
        <v/>
      </c>
      <c r="M225" s="10" t="str">
        <f>IF(Инвентаризация!C225="","",Инвентаризация!N225)</f>
        <v/>
      </c>
      <c r="N225" s="10" t="str">
        <f>IF(Инвентаризация!C225="","",Инвентаризация!O225)</f>
        <v/>
      </c>
      <c r="O225" s="10" t="str">
        <f>IF(Инвентаризация!C225="","",Инвентаризация!P225)</f>
        <v/>
      </c>
      <c r="P225" s="8" t="str">
        <f>IF(Инвентаризация!C225="","",Инвентаризация!Q225)</f>
        <v/>
      </c>
    </row>
    <row r="226" spans="1:16">
      <c r="A226" s="10" t="str">
        <f>IF(Инвентаризация!C226="","",Инвентаризация!B226)</f>
        <v/>
      </c>
      <c r="B226" s="10" t="str">
        <f>IF(Инвентаризация!C226="","",Инвентаризация!C226)</f>
        <v/>
      </c>
      <c r="C226" s="5" t="str">
        <f>IF(Инвентаризация!C226="","",Инвентаризация!D226)</f>
        <v/>
      </c>
      <c r="D226" s="11" t="str">
        <f>IF(Инвентаризация!C226="","",Инвентаризация!E226)</f>
        <v/>
      </c>
      <c r="E226" s="12" t="str">
        <f>IF(Инвентаризация!C226="","",Инвентаризация!F226)</f>
        <v/>
      </c>
      <c r="F226" s="12" t="str">
        <f>IF(Инвентаризация!C226="","",Инвентаризация!G226)</f>
        <v/>
      </c>
      <c r="G226" s="12" t="str">
        <f t="shared" si="15"/>
        <v/>
      </c>
      <c r="H226" s="13" t="str">
        <f t="shared" si="16"/>
        <v/>
      </c>
      <c r="I226" s="12" t="str">
        <f t="shared" si="17"/>
        <v/>
      </c>
      <c r="J226" s="12" t="str">
        <f t="shared" si="18"/>
        <v/>
      </c>
      <c r="K226" s="12" t="str">
        <f t="shared" si="19"/>
        <v/>
      </c>
      <c r="L226" s="10" t="str">
        <f>IF(Инвентаризация!C226="","",Инвентаризация!M226)</f>
        <v/>
      </c>
      <c r="M226" s="10" t="str">
        <f>IF(Инвентаризация!C226="","",Инвентаризация!N226)</f>
        <v/>
      </c>
      <c r="N226" s="10" t="str">
        <f>IF(Инвентаризация!C226="","",Инвентаризация!O226)</f>
        <v/>
      </c>
      <c r="O226" s="10" t="str">
        <f>IF(Инвентаризация!C226="","",Инвентаризация!P226)</f>
        <v/>
      </c>
      <c r="P226" s="8" t="str">
        <f>IF(Инвентаризация!C226="","",Инвентаризация!Q226)</f>
        <v/>
      </c>
    </row>
    <row r="227" spans="1:16">
      <c r="A227" s="10" t="str">
        <f>IF(Инвентаризация!C227="","",Инвентаризация!B227)</f>
        <v/>
      </c>
      <c r="B227" s="10" t="str">
        <f>IF(Инвентаризация!C227="","",Инвентаризация!C227)</f>
        <v/>
      </c>
      <c r="C227" s="5" t="str">
        <f>IF(Инвентаризация!C227="","",Инвентаризация!D227)</f>
        <v/>
      </c>
      <c r="D227" s="11" t="str">
        <f>IF(Инвентаризация!C227="","",Инвентаризация!E227)</f>
        <v/>
      </c>
      <c r="E227" s="12" t="str">
        <f>IF(Инвентаризация!C227="","",Инвентаризация!F227)</f>
        <v/>
      </c>
      <c r="F227" s="12" t="str">
        <f>IF(Инвентаризация!C227="","",Инвентаризация!G227)</f>
        <v/>
      </c>
      <c r="G227" s="12" t="str">
        <f t="shared" si="15"/>
        <v/>
      </c>
      <c r="H227" s="13" t="str">
        <f t="shared" si="16"/>
        <v/>
      </c>
      <c r="I227" s="12" t="str">
        <f t="shared" si="17"/>
        <v/>
      </c>
      <c r="J227" s="12" t="str">
        <f t="shared" si="18"/>
        <v/>
      </c>
      <c r="K227" s="12" t="str">
        <f t="shared" si="19"/>
        <v/>
      </c>
      <c r="L227" s="10" t="str">
        <f>IF(Инвентаризация!C227="","",Инвентаризация!M227)</f>
        <v/>
      </c>
      <c r="M227" s="10" t="str">
        <f>IF(Инвентаризация!C227="","",Инвентаризация!N227)</f>
        <v/>
      </c>
      <c r="N227" s="10" t="str">
        <f>IF(Инвентаризация!C227="","",Инвентаризация!O227)</f>
        <v/>
      </c>
      <c r="O227" s="10" t="str">
        <f>IF(Инвентаризация!C227="","",Инвентаризация!P227)</f>
        <v/>
      </c>
      <c r="P227" s="8" t="str">
        <f>IF(Инвентаризация!C227="","",Инвентаризация!Q227)</f>
        <v/>
      </c>
    </row>
    <row r="228" spans="1:16">
      <c r="A228" s="10" t="str">
        <f>IF(Инвентаризация!C228="","",Инвентаризация!B228)</f>
        <v/>
      </c>
      <c r="B228" s="10" t="str">
        <f>IF(Инвентаризация!C228="","",Инвентаризация!C228)</f>
        <v/>
      </c>
      <c r="C228" s="5" t="str">
        <f>IF(Инвентаризация!C228="","",Инвентаризация!D228)</f>
        <v/>
      </c>
      <c r="D228" s="11" t="str">
        <f>IF(Инвентаризация!C228="","",Инвентаризация!E228)</f>
        <v/>
      </c>
      <c r="E228" s="12" t="str">
        <f>IF(Инвентаризация!C228="","",Инвентаризация!F228)</f>
        <v/>
      </c>
      <c r="F228" s="12" t="str">
        <f>IF(Инвентаризация!C228="","",Инвентаризация!G228)</f>
        <v/>
      </c>
      <c r="G228" s="12" t="str">
        <f t="shared" si="15"/>
        <v/>
      </c>
      <c r="H228" s="13" t="str">
        <f t="shared" si="16"/>
        <v/>
      </c>
      <c r="I228" s="12" t="str">
        <f t="shared" si="17"/>
        <v/>
      </c>
      <c r="J228" s="12" t="str">
        <f t="shared" si="18"/>
        <v/>
      </c>
      <c r="K228" s="12" t="str">
        <f t="shared" si="19"/>
        <v/>
      </c>
      <c r="L228" s="10" t="str">
        <f>IF(Инвентаризация!C228="","",Инвентаризация!M228)</f>
        <v/>
      </c>
      <c r="M228" s="10" t="str">
        <f>IF(Инвентаризация!C228="","",Инвентаризация!N228)</f>
        <v/>
      </c>
      <c r="N228" s="10" t="str">
        <f>IF(Инвентаризация!C228="","",Инвентаризация!O228)</f>
        <v/>
      </c>
      <c r="O228" s="10" t="str">
        <f>IF(Инвентаризация!C228="","",Инвентаризация!P228)</f>
        <v/>
      </c>
      <c r="P228" s="8" t="str">
        <f>IF(Инвентаризация!C228="","",Инвентаризация!Q228)</f>
        <v/>
      </c>
    </row>
    <row r="229" spans="1:16">
      <c r="A229" s="10" t="str">
        <f>IF(Инвентаризация!C229="","",Инвентаризация!B229)</f>
        <v/>
      </c>
      <c r="B229" s="10" t="str">
        <f>IF(Инвентаризация!C229="","",Инвентаризация!C229)</f>
        <v/>
      </c>
      <c r="C229" s="5" t="str">
        <f>IF(Инвентаризация!C229="","",Инвентаризация!D229)</f>
        <v/>
      </c>
      <c r="D229" s="11" t="str">
        <f>IF(Инвентаризация!C229="","",Инвентаризация!E229)</f>
        <v/>
      </c>
      <c r="E229" s="12" t="str">
        <f>IF(Инвентаризация!C229="","",Инвентаризация!F229)</f>
        <v/>
      </c>
      <c r="F229" s="12" t="str">
        <f>IF(Инвентаризация!C229="","",Инвентаризация!G229)</f>
        <v/>
      </c>
      <c r="G229" s="12" t="str">
        <f t="shared" si="15"/>
        <v/>
      </c>
      <c r="H229" s="13" t="str">
        <f t="shared" si="16"/>
        <v/>
      </c>
      <c r="I229" s="12" t="str">
        <f t="shared" si="17"/>
        <v/>
      </c>
      <c r="J229" s="12" t="str">
        <f t="shared" si="18"/>
        <v/>
      </c>
      <c r="K229" s="12" t="str">
        <f t="shared" si="19"/>
        <v/>
      </c>
      <c r="L229" s="10" t="str">
        <f>IF(Инвентаризация!C229="","",Инвентаризация!M229)</f>
        <v/>
      </c>
      <c r="M229" s="10" t="str">
        <f>IF(Инвентаризация!C229="","",Инвентаризация!N229)</f>
        <v/>
      </c>
      <c r="N229" s="10" t="str">
        <f>IF(Инвентаризация!C229="","",Инвентаризация!O229)</f>
        <v/>
      </c>
      <c r="O229" s="10" t="str">
        <f>IF(Инвентаризация!C229="","",Инвентаризация!P229)</f>
        <v/>
      </c>
      <c r="P229" s="8" t="str">
        <f>IF(Инвентаризация!C229="","",Инвентаризация!Q229)</f>
        <v/>
      </c>
    </row>
    <row r="230" spans="1:16">
      <c r="A230" s="10" t="str">
        <f>IF(Инвентаризация!C230="","",Инвентаризация!B230)</f>
        <v/>
      </c>
      <c r="B230" s="10" t="str">
        <f>IF(Инвентаризация!C230="","",Инвентаризация!C230)</f>
        <v/>
      </c>
      <c r="C230" s="5" t="str">
        <f>IF(Инвентаризация!C230="","",Инвентаризация!D230)</f>
        <v/>
      </c>
      <c r="D230" s="11" t="str">
        <f>IF(Инвентаризация!C230="","",Инвентаризация!E230)</f>
        <v/>
      </c>
      <c r="E230" s="12" t="str">
        <f>IF(Инвентаризация!C230="","",Инвентаризация!F230)</f>
        <v/>
      </c>
      <c r="F230" s="12" t="str">
        <f>IF(Инвентаризация!C230="","",Инвентаризация!G230)</f>
        <v/>
      </c>
      <c r="G230" s="12" t="str">
        <f t="shared" si="15"/>
        <v/>
      </c>
      <c r="H230" s="13" t="str">
        <f t="shared" si="16"/>
        <v/>
      </c>
      <c r="I230" s="12" t="str">
        <f t="shared" si="17"/>
        <v/>
      </c>
      <c r="J230" s="12" t="str">
        <f t="shared" si="18"/>
        <v/>
      </c>
      <c r="K230" s="12" t="str">
        <f t="shared" si="19"/>
        <v/>
      </c>
      <c r="L230" s="10" t="str">
        <f>IF(Инвентаризация!C230="","",Инвентаризация!M230)</f>
        <v/>
      </c>
      <c r="M230" s="10" t="str">
        <f>IF(Инвентаризация!C230="","",Инвентаризация!N230)</f>
        <v/>
      </c>
      <c r="N230" s="10" t="str">
        <f>IF(Инвентаризация!C230="","",Инвентаризация!O230)</f>
        <v/>
      </c>
      <c r="O230" s="10" t="str">
        <f>IF(Инвентаризация!C230="","",Инвентаризация!P230)</f>
        <v/>
      </c>
      <c r="P230" s="8" t="str">
        <f>IF(Инвентаризация!C230="","",Инвентаризация!Q230)</f>
        <v/>
      </c>
    </row>
    <row r="231" spans="1:16">
      <c r="A231" s="10" t="str">
        <f>IF(Инвентаризация!C231="","",Инвентаризация!B231)</f>
        <v/>
      </c>
      <c r="B231" s="10" t="str">
        <f>IF(Инвентаризация!C231="","",Инвентаризация!C231)</f>
        <v/>
      </c>
      <c r="C231" s="5" t="str">
        <f>IF(Инвентаризация!C231="","",Инвентаризация!D231)</f>
        <v/>
      </c>
      <c r="D231" s="11" t="str">
        <f>IF(Инвентаризация!C231="","",Инвентаризация!E231)</f>
        <v/>
      </c>
      <c r="E231" s="12" t="str">
        <f>IF(Инвентаризация!C231="","",Инвентаризация!F231)</f>
        <v/>
      </c>
      <c r="F231" s="12" t="str">
        <f>IF(Инвентаризация!C231="","",Инвентаризация!G231)</f>
        <v/>
      </c>
      <c r="G231" s="12" t="str">
        <f t="shared" si="15"/>
        <v/>
      </c>
      <c r="H231" s="13" t="str">
        <f t="shared" si="16"/>
        <v/>
      </c>
      <c r="I231" s="12" t="str">
        <f t="shared" si="17"/>
        <v/>
      </c>
      <c r="J231" s="12" t="str">
        <f t="shared" si="18"/>
        <v/>
      </c>
      <c r="K231" s="12" t="str">
        <f t="shared" si="19"/>
        <v/>
      </c>
      <c r="L231" s="10" t="str">
        <f>IF(Инвентаризация!C231="","",Инвентаризация!M231)</f>
        <v/>
      </c>
      <c r="M231" s="10" t="str">
        <f>IF(Инвентаризация!C231="","",Инвентаризация!N231)</f>
        <v/>
      </c>
      <c r="N231" s="10" t="str">
        <f>IF(Инвентаризация!C231="","",Инвентаризация!O231)</f>
        <v/>
      </c>
      <c r="O231" s="10" t="str">
        <f>IF(Инвентаризация!C231="","",Инвентаризация!P231)</f>
        <v/>
      </c>
      <c r="P231" s="8" t="str">
        <f>IF(Инвентаризация!C231="","",Инвентаризация!Q231)</f>
        <v/>
      </c>
    </row>
    <row r="232" spans="1:16">
      <c r="A232" s="10" t="str">
        <f>IF(Инвентаризация!C232="","",Инвентаризация!B232)</f>
        <v/>
      </c>
      <c r="B232" s="10" t="str">
        <f>IF(Инвентаризация!C232="","",Инвентаризация!C232)</f>
        <v/>
      </c>
      <c r="C232" s="5" t="str">
        <f>IF(Инвентаризация!C232="","",Инвентаризация!D232)</f>
        <v/>
      </c>
      <c r="D232" s="11" t="str">
        <f>IF(Инвентаризация!C232="","",Инвентаризация!E232)</f>
        <v/>
      </c>
      <c r="E232" s="12" t="str">
        <f>IF(Инвентаризация!C232="","",Инвентаризация!F232)</f>
        <v/>
      </c>
      <c r="F232" s="12" t="str">
        <f>IF(Инвентаризация!C232="","",Инвентаризация!G232)</f>
        <v/>
      </c>
      <c r="G232" s="12" t="str">
        <f t="shared" si="15"/>
        <v/>
      </c>
      <c r="H232" s="13" t="str">
        <f t="shared" si="16"/>
        <v/>
      </c>
      <c r="I232" s="12" t="str">
        <f t="shared" si="17"/>
        <v/>
      </c>
      <c r="J232" s="12" t="str">
        <f t="shared" si="18"/>
        <v/>
      </c>
      <c r="K232" s="12" t="str">
        <f t="shared" si="19"/>
        <v/>
      </c>
      <c r="L232" s="10" t="str">
        <f>IF(Инвентаризация!C232="","",Инвентаризация!M232)</f>
        <v/>
      </c>
      <c r="M232" s="10" t="str">
        <f>IF(Инвентаризация!C232="","",Инвентаризация!N232)</f>
        <v/>
      </c>
      <c r="N232" s="10" t="str">
        <f>IF(Инвентаризация!C232="","",Инвентаризация!O232)</f>
        <v/>
      </c>
      <c r="O232" s="10" t="str">
        <f>IF(Инвентаризация!C232="","",Инвентаризация!P232)</f>
        <v/>
      </c>
      <c r="P232" s="8" t="str">
        <f>IF(Инвентаризация!C232="","",Инвентаризация!Q232)</f>
        <v/>
      </c>
    </row>
    <row r="233" spans="1:16">
      <c r="A233" s="10" t="str">
        <f>IF(Инвентаризация!C233="","",Инвентаризация!B233)</f>
        <v/>
      </c>
      <c r="B233" s="10" t="str">
        <f>IF(Инвентаризация!C233="","",Инвентаризация!C233)</f>
        <v/>
      </c>
      <c r="C233" s="5" t="str">
        <f>IF(Инвентаризация!C233="","",Инвентаризация!D233)</f>
        <v/>
      </c>
      <c r="D233" s="11" t="str">
        <f>IF(Инвентаризация!C233="","",Инвентаризация!E233)</f>
        <v/>
      </c>
      <c r="E233" s="12" t="str">
        <f>IF(Инвентаризация!C233="","",Инвентаризация!F233)</f>
        <v/>
      </c>
      <c r="F233" s="12" t="str">
        <f>IF(Инвентаризация!C233="","",Инвентаризация!G233)</f>
        <v/>
      </c>
      <c r="G233" s="12" t="str">
        <f t="shared" si="15"/>
        <v/>
      </c>
      <c r="H233" s="13" t="str">
        <f t="shared" si="16"/>
        <v/>
      </c>
      <c r="I233" s="12" t="str">
        <f t="shared" si="17"/>
        <v/>
      </c>
      <c r="J233" s="12" t="str">
        <f t="shared" si="18"/>
        <v/>
      </c>
      <c r="K233" s="12" t="str">
        <f t="shared" si="19"/>
        <v/>
      </c>
      <c r="L233" s="10" t="str">
        <f>IF(Инвентаризация!C233="","",Инвентаризация!M233)</f>
        <v/>
      </c>
      <c r="M233" s="10" t="str">
        <f>IF(Инвентаризация!C233="","",Инвентаризация!N233)</f>
        <v/>
      </c>
      <c r="N233" s="10" t="str">
        <f>IF(Инвентаризация!C233="","",Инвентаризация!O233)</f>
        <v/>
      </c>
      <c r="O233" s="10" t="str">
        <f>IF(Инвентаризация!C233="","",Инвентаризация!P233)</f>
        <v/>
      </c>
      <c r="P233" s="8" t="str">
        <f>IF(Инвентаризация!C233="","",Инвентаризация!Q233)</f>
        <v/>
      </c>
    </row>
    <row r="234" spans="1:16">
      <c r="A234" s="10" t="str">
        <f>IF(Инвентаризация!C234="","",Инвентаризация!B234)</f>
        <v/>
      </c>
      <c r="B234" s="10" t="str">
        <f>IF(Инвентаризация!C234="","",Инвентаризация!C234)</f>
        <v/>
      </c>
      <c r="C234" s="5" t="str">
        <f>IF(Инвентаризация!C234="","",Инвентаризация!D234)</f>
        <v/>
      </c>
      <c r="D234" s="11" t="str">
        <f>IF(Инвентаризация!C234="","",Инвентаризация!E234)</f>
        <v/>
      </c>
      <c r="E234" s="12" t="str">
        <f>IF(Инвентаризация!C234="","",Инвентаризация!F234)</f>
        <v/>
      </c>
      <c r="F234" s="12" t="str">
        <f>IF(Инвентаризация!C234="","",Инвентаризация!G234)</f>
        <v/>
      </c>
      <c r="G234" s="12" t="str">
        <f t="shared" si="15"/>
        <v/>
      </c>
      <c r="H234" s="13" t="str">
        <f t="shared" si="16"/>
        <v/>
      </c>
      <c r="I234" s="12" t="str">
        <f t="shared" si="17"/>
        <v/>
      </c>
      <c r="J234" s="12" t="str">
        <f t="shared" si="18"/>
        <v/>
      </c>
      <c r="K234" s="12" t="str">
        <f t="shared" si="19"/>
        <v/>
      </c>
      <c r="L234" s="10" t="str">
        <f>IF(Инвентаризация!C234="","",Инвентаризация!M234)</f>
        <v/>
      </c>
      <c r="M234" s="10" t="str">
        <f>IF(Инвентаризация!C234="","",Инвентаризация!N234)</f>
        <v/>
      </c>
      <c r="N234" s="10" t="str">
        <f>IF(Инвентаризация!C234="","",Инвентаризация!O234)</f>
        <v/>
      </c>
      <c r="O234" s="10" t="str">
        <f>IF(Инвентаризация!C234="","",Инвентаризация!P234)</f>
        <v/>
      </c>
      <c r="P234" s="8" t="str">
        <f>IF(Инвентаризация!C234="","",Инвентаризация!Q234)</f>
        <v/>
      </c>
    </row>
    <row r="235" spans="1:16">
      <c r="A235" s="10" t="str">
        <f>IF(Инвентаризация!C235="","",Инвентаризация!B235)</f>
        <v/>
      </c>
      <c r="B235" s="10" t="str">
        <f>IF(Инвентаризация!C235="","",Инвентаризация!C235)</f>
        <v/>
      </c>
      <c r="C235" s="5" t="str">
        <f>IF(Инвентаризация!C235="","",Инвентаризация!D235)</f>
        <v/>
      </c>
      <c r="D235" s="11" t="str">
        <f>IF(Инвентаризация!C235="","",Инвентаризация!E235)</f>
        <v/>
      </c>
      <c r="E235" s="12" t="str">
        <f>IF(Инвентаризация!C235="","",Инвентаризация!F235)</f>
        <v/>
      </c>
      <c r="F235" s="12" t="str">
        <f>IF(Инвентаризация!C235="","",Инвентаризация!G235)</f>
        <v/>
      </c>
      <c r="G235" s="12" t="str">
        <f t="shared" si="15"/>
        <v/>
      </c>
      <c r="H235" s="13" t="str">
        <f t="shared" si="16"/>
        <v/>
      </c>
      <c r="I235" s="12" t="str">
        <f t="shared" si="17"/>
        <v/>
      </c>
      <c r="J235" s="12" t="str">
        <f t="shared" si="18"/>
        <v/>
      </c>
      <c r="K235" s="12" t="str">
        <f t="shared" si="19"/>
        <v/>
      </c>
      <c r="L235" s="10" t="str">
        <f>IF(Инвентаризация!C235="","",Инвентаризация!M235)</f>
        <v/>
      </c>
      <c r="M235" s="10" t="str">
        <f>IF(Инвентаризация!C235="","",Инвентаризация!N235)</f>
        <v/>
      </c>
      <c r="N235" s="10" t="str">
        <f>IF(Инвентаризация!C235="","",Инвентаризация!O235)</f>
        <v/>
      </c>
      <c r="O235" s="10" t="str">
        <f>IF(Инвентаризация!C235="","",Инвентаризация!P235)</f>
        <v/>
      </c>
      <c r="P235" s="8" t="str">
        <f>IF(Инвентаризация!C235="","",Инвентаризация!Q235)</f>
        <v/>
      </c>
    </row>
    <row r="236" spans="1:16">
      <c r="A236" s="10" t="str">
        <f>IF(Инвентаризация!C236="","",Инвентаризация!B236)</f>
        <v/>
      </c>
      <c r="B236" s="10" t="str">
        <f>IF(Инвентаризация!C236="","",Инвентаризация!C236)</f>
        <v/>
      </c>
      <c r="C236" s="5" t="str">
        <f>IF(Инвентаризация!C236="","",Инвентаризация!D236)</f>
        <v/>
      </c>
      <c r="D236" s="11" t="str">
        <f>IF(Инвентаризация!C236="","",Инвентаризация!E236)</f>
        <v/>
      </c>
      <c r="E236" s="12" t="str">
        <f>IF(Инвентаризация!C236="","",Инвентаризация!F236)</f>
        <v/>
      </c>
      <c r="F236" s="12" t="str">
        <f>IF(Инвентаризация!C236="","",Инвентаризация!G236)</f>
        <v/>
      </c>
      <c r="G236" s="12" t="str">
        <f t="shared" si="15"/>
        <v/>
      </c>
      <c r="H236" s="13" t="str">
        <f t="shared" si="16"/>
        <v/>
      </c>
      <c r="I236" s="12" t="str">
        <f t="shared" si="17"/>
        <v/>
      </c>
      <c r="J236" s="12" t="str">
        <f t="shared" si="18"/>
        <v/>
      </c>
      <c r="K236" s="12" t="str">
        <f t="shared" si="19"/>
        <v/>
      </c>
      <c r="L236" s="10" t="str">
        <f>IF(Инвентаризация!C236="","",Инвентаризация!M236)</f>
        <v/>
      </c>
      <c r="M236" s="10" t="str">
        <f>IF(Инвентаризация!C236="","",Инвентаризация!N236)</f>
        <v/>
      </c>
      <c r="N236" s="10" t="str">
        <f>IF(Инвентаризация!C236="","",Инвентаризация!O236)</f>
        <v/>
      </c>
      <c r="O236" s="10" t="str">
        <f>IF(Инвентаризация!C236="","",Инвентаризация!P236)</f>
        <v/>
      </c>
      <c r="P236" s="8" t="str">
        <f>IF(Инвентаризация!C236="","",Инвентаризация!Q236)</f>
        <v/>
      </c>
    </row>
    <row r="237" spans="1:16">
      <c r="A237" s="10" t="str">
        <f>IF(Инвентаризация!C237="","",Инвентаризация!B237)</f>
        <v/>
      </c>
      <c r="B237" s="10" t="str">
        <f>IF(Инвентаризация!C237="","",Инвентаризация!C237)</f>
        <v/>
      </c>
      <c r="C237" s="5" t="str">
        <f>IF(Инвентаризация!C237="","",Инвентаризация!D237)</f>
        <v/>
      </c>
      <c r="D237" s="11" t="str">
        <f>IF(Инвентаризация!C237="","",Инвентаризация!E237)</f>
        <v/>
      </c>
      <c r="E237" s="12" t="str">
        <f>IF(Инвентаризация!C237="","",Инвентаризация!F237)</f>
        <v/>
      </c>
      <c r="F237" s="12" t="str">
        <f>IF(Инвентаризация!C237="","",Инвентаризация!G237)</f>
        <v/>
      </c>
      <c r="G237" s="12" t="str">
        <f t="shared" si="15"/>
        <v/>
      </c>
      <c r="H237" s="13" t="str">
        <f t="shared" si="16"/>
        <v/>
      </c>
      <c r="I237" s="12" t="str">
        <f t="shared" si="17"/>
        <v/>
      </c>
      <c r="J237" s="12" t="str">
        <f t="shared" si="18"/>
        <v/>
      </c>
      <c r="K237" s="12" t="str">
        <f t="shared" si="19"/>
        <v/>
      </c>
      <c r="L237" s="10" t="str">
        <f>IF(Инвентаризация!C237="","",Инвентаризация!M237)</f>
        <v/>
      </c>
      <c r="M237" s="10" t="str">
        <f>IF(Инвентаризация!C237="","",Инвентаризация!N237)</f>
        <v/>
      </c>
      <c r="N237" s="10" t="str">
        <f>IF(Инвентаризация!C237="","",Инвентаризация!O237)</f>
        <v/>
      </c>
      <c r="O237" s="10" t="str">
        <f>IF(Инвентаризация!C237="","",Инвентаризация!P237)</f>
        <v/>
      </c>
      <c r="P237" s="8" t="str">
        <f>IF(Инвентаризация!C237="","",Инвентаризация!Q237)</f>
        <v/>
      </c>
    </row>
    <row r="238" spans="1:16">
      <c r="A238" s="10" t="str">
        <f>IF(Инвентаризация!C238="","",Инвентаризация!B238)</f>
        <v/>
      </c>
      <c r="B238" s="10" t="str">
        <f>IF(Инвентаризация!C238="","",Инвентаризация!C238)</f>
        <v/>
      </c>
      <c r="C238" s="5" t="str">
        <f>IF(Инвентаризация!C238="","",Инвентаризация!D238)</f>
        <v/>
      </c>
      <c r="D238" s="11" t="str">
        <f>IF(Инвентаризация!C238="","",Инвентаризация!E238)</f>
        <v/>
      </c>
      <c r="E238" s="12" t="str">
        <f>IF(Инвентаризация!C238="","",Инвентаризация!F238)</f>
        <v/>
      </c>
      <c r="F238" s="12" t="str">
        <f>IF(Инвентаризация!C238="","",Инвентаризация!G238)</f>
        <v/>
      </c>
      <c r="G238" s="12" t="str">
        <f t="shared" si="15"/>
        <v/>
      </c>
      <c r="H238" s="13" t="str">
        <f t="shared" si="16"/>
        <v/>
      </c>
      <c r="I238" s="12" t="str">
        <f t="shared" si="17"/>
        <v/>
      </c>
      <c r="J238" s="12" t="str">
        <f t="shared" si="18"/>
        <v/>
      </c>
      <c r="K238" s="12" t="str">
        <f t="shared" si="19"/>
        <v/>
      </c>
      <c r="L238" s="10" t="str">
        <f>IF(Инвентаризация!C238="","",Инвентаризация!M238)</f>
        <v/>
      </c>
      <c r="M238" s="10" t="str">
        <f>IF(Инвентаризация!C238="","",Инвентаризация!N238)</f>
        <v/>
      </c>
      <c r="N238" s="10" t="str">
        <f>IF(Инвентаризация!C238="","",Инвентаризация!O238)</f>
        <v/>
      </c>
      <c r="O238" s="10" t="str">
        <f>IF(Инвентаризация!C238="","",Инвентаризация!P238)</f>
        <v/>
      </c>
      <c r="P238" s="8" t="str">
        <f>IF(Инвентаризация!C238="","",Инвентаризация!Q238)</f>
        <v/>
      </c>
    </row>
    <row r="239" spans="1:16">
      <c r="A239" s="10" t="str">
        <f>IF(Инвентаризация!C239="","",Инвентаризация!B239)</f>
        <v/>
      </c>
      <c r="B239" s="10" t="str">
        <f>IF(Инвентаризация!C239="","",Инвентаризация!C239)</f>
        <v/>
      </c>
      <c r="C239" s="5" t="str">
        <f>IF(Инвентаризация!C239="","",Инвентаризация!D239)</f>
        <v/>
      </c>
      <c r="D239" s="11" t="str">
        <f>IF(Инвентаризация!C239="","",Инвентаризация!E239)</f>
        <v/>
      </c>
      <c r="E239" s="12" t="str">
        <f>IF(Инвентаризация!C239="","",Инвентаризация!F239)</f>
        <v/>
      </c>
      <c r="F239" s="12" t="str">
        <f>IF(Инвентаризация!C239="","",Инвентаризация!G239)</f>
        <v/>
      </c>
      <c r="G239" s="12" t="str">
        <f t="shared" si="15"/>
        <v/>
      </c>
      <c r="H239" s="13" t="str">
        <f t="shared" si="16"/>
        <v/>
      </c>
      <c r="I239" s="12" t="str">
        <f t="shared" si="17"/>
        <v/>
      </c>
      <c r="J239" s="12" t="str">
        <f t="shared" si="18"/>
        <v/>
      </c>
      <c r="K239" s="12" t="str">
        <f t="shared" si="19"/>
        <v/>
      </c>
      <c r="L239" s="10" t="str">
        <f>IF(Инвентаризация!C239="","",Инвентаризация!M239)</f>
        <v/>
      </c>
      <c r="M239" s="10" t="str">
        <f>IF(Инвентаризация!C239="","",Инвентаризация!N239)</f>
        <v/>
      </c>
      <c r="N239" s="10" t="str">
        <f>IF(Инвентаризация!C239="","",Инвентаризация!O239)</f>
        <v/>
      </c>
      <c r="O239" s="10" t="str">
        <f>IF(Инвентаризация!C239="","",Инвентаризация!P239)</f>
        <v/>
      </c>
      <c r="P239" s="8" t="str">
        <f>IF(Инвентаризация!C239="","",Инвентаризация!Q239)</f>
        <v/>
      </c>
    </row>
    <row r="240" spans="1:16">
      <c r="A240" s="10" t="str">
        <f>IF(Инвентаризация!C240="","",Инвентаризация!B240)</f>
        <v/>
      </c>
      <c r="B240" s="10" t="str">
        <f>IF(Инвентаризация!C240="","",Инвентаризация!C240)</f>
        <v/>
      </c>
      <c r="C240" s="5" t="str">
        <f>IF(Инвентаризация!C240="","",Инвентаризация!D240)</f>
        <v/>
      </c>
      <c r="D240" s="11" t="str">
        <f>IF(Инвентаризация!C240="","",Инвентаризация!E240)</f>
        <v/>
      </c>
      <c r="E240" s="12" t="str">
        <f>IF(Инвентаризация!C240="","",Инвентаризация!F240)</f>
        <v/>
      </c>
      <c r="F240" s="12" t="str">
        <f>IF(Инвентаризация!C240="","",Инвентаризация!G240)</f>
        <v/>
      </c>
      <c r="G240" s="12" t="str">
        <f t="shared" si="15"/>
        <v/>
      </c>
      <c r="H240" s="13" t="str">
        <f t="shared" si="16"/>
        <v/>
      </c>
      <c r="I240" s="12" t="str">
        <f t="shared" si="17"/>
        <v/>
      </c>
      <c r="J240" s="12" t="str">
        <f t="shared" si="18"/>
        <v/>
      </c>
      <c r="K240" s="12" t="str">
        <f t="shared" si="19"/>
        <v/>
      </c>
      <c r="L240" s="10" t="str">
        <f>IF(Инвентаризация!C240="","",Инвентаризация!M240)</f>
        <v/>
      </c>
      <c r="M240" s="10" t="str">
        <f>IF(Инвентаризация!C240="","",Инвентаризация!N240)</f>
        <v/>
      </c>
      <c r="N240" s="10" t="str">
        <f>IF(Инвентаризация!C240="","",Инвентаризация!O240)</f>
        <v/>
      </c>
      <c r="O240" s="10" t="str">
        <f>IF(Инвентаризация!C240="","",Инвентаризация!P240)</f>
        <v/>
      </c>
      <c r="P240" s="8" t="str">
        <f>IF(Инвентаризация!C240="","",Инвентаризация!Q240)</f>
        <v/>
      </c>
    </row>
    <row r="241" spans="1:16">
      <c r="A241" s="10" t="str">
        <f>IF(Инвентаризация!C241="","",Инвентаризация!B241)</f>
        <v/>
      </c>
      <c r="B241" s="10" t="str">
        <f>IF(Инвентаризация!C241="","",Инвентаризация!C241)</f>
        <v/>
      </c>
      <c r="C241" s="5" t="str">
        <f>IF(Инвентаризация!C241="","",Инвентаризация!D241)</f>
        <v/>
      </c>
      <c r="D241" s="11" t="str">
        <f>IF(Инвентаризация!C241="","",Инвентаризация!E241)</f>
        <v/>
      </c>
      <c r="E241" s="12" t="str">
        <f>IF(Инвентаризация!C241="","",Инвентаризация!F241)</f>
        <v/>
      </c>
      <c r="F241" s="12" t="str">
        <f>IF(Инвентаризация!C241="","",Инвентаризация!G241)</f>
        <v/>
      </c>
      <c r="G241" s="12" t="str">
        <f t="shared" si="15"/>
        <v/>
      </c>
      <c r="H241" s="13" t="str">
        <f t="shared" si="16"/>
        <v/>
      </c>
      <c r="I241" s="12" t="str">
        <f t="shared" si="17"/>
        <v/>
      </c>
      <c r="J241" s="12" t="str">
        <f t="shared" si="18"/>
        <v/>
      </c>
      <c r="K241" s="12" t="str">
        <f t="shared" si="19"/>
        <v/>
      </c>
      <c r="L241" s="10" t="str">
        <f>IF(Инвентаризация!C241="","",Инвентаризация!M241)</f>
        <v/>
      </c>
      <c r="M241" s="10" t="str">
        <f>IF(Инвентаризация!C241="","",Инвентаризация!N241)</f>
        <v/>
      </c>
      <c r="N241" s="10" t="str">
        <f>IF(Инвентаризация!C241="","",Инвентаризация!O241)</f>
        <v/>
      </c>
      <c r="O241" s="10" t="str">
        <f>IF(Инвентаризация!C241="","",Инвентаризация!P241)</f>
        <v/>
      </c>
      <c r="P241" s="8" t="str">
        <f>IF(Инвентаризация!C241="","",Инвентаризация!Q241)</f>
        <v/>
      </c>
    </row>
    <row r="242" spans="1:16">
      <c r="A242" s="10" t="str">
        <f>IF(Инвентаризация!C242="","",Инвентаризация!B242)</f>
        <v/>
      </c>
      <c r="B242" s="10" t="str">
        <f>IF(Инвентаризация!C242="","",Инвентаризация!C242)</f>
        <v/>
      </c>
      <c r="C242" s="5" t="str">
        <f>IF(Инвентаризация!C242="","",Инвентаризация!D242)</f>
        <v/>
      </c>
      <c r="D242" s="11" t="str">
        <f>IF(Инвентаризация!C242="","",Инвентаризация!E242)</f>
        <v/>
      </c>
      <c r="E242" s="12" t="str">
        <f>IF(Инвентаризация!C242="","",Инвентаризация!F242)</f>
        <v/>
      </c>
      <c r="F242" s="12" t="str">
        <f>IF(Инвентаризация!C242="","",Инвентаризация!G242)</f>
        <v/>
      </c>
      <c r="G242" s="12" t="str">
        <f t="shared" si="15"/>
        <v/>
      </c>
      <c r="H242" s="13" t="str">
        <f t="shared" si="16"/>
        <v/>
      </c>
      <c r="I242" s="12" t="str">
        <f t="shared" si="17"/>
        <v/>
      </c>
      <c r="J242" s="12" t="str">
        <f t="shared" si="18"/>
        <v/>
      </c>
      <c r="K242" s="12" t="str">
        <f t="shared" si="19"/>
        <v/>
      </c>
      <c r="L242" s="10" t="str">
        <f>IF(Инвентаризация!C242="","",Инвентаризация!M242)</f>
        <v/>
      </c>
      <c r="M242" s="10" t="str">
        <f>IF(Инвентаризация!C242="","",Инвентаризация!N242)</f>
        <v/>
      </c>
      <c r="N242" s="10" t="str">
        <f>IF(Инвентаризация!C242="","",Инвентаризация!O242)</f>
        <v/>
      </c>
      <c r="O242" s="10" t="str">
        <f>IF(Инвентаризация!C242="","",Инвентаризация!P242)</f>
        <v/>
      </c>
      <c r="P242" s="8" t="str">
        <f>IF(Инвентаризация!C242="","",Инвентаризация!Q242)</f>
        <v/>
      </c>
    </row>
    <row r="243" spans="1:16">
      <c r="A243" s="10" t="str">
        <f>IF(Инвентаризация!C243="","",Инвентаризация!B243)</f>
        <v/>
      </c>
      <c r="B243" s="10" t="str">
        <f>IF(Инвентаризация!C243="","",Инвентаризация!C243)</f>
        <v/>
      </c>
      <c r="C243" s="5" t="str">
        <f>IF(Инвентаризация!C243="","",Инвентаризация!D243)</f>
        <v/>
      </c>
      <c r="D243" s="11" t="str">
        <f>IF(Инвентаризация!C243="","",Инвентаризация!E243)</f>
        <v/>
      </c>
      <c r="E243" s="12" t="str">
        <f>IF(Инвентаризация!C243="","",Инвентаризация!F243)</f>
        <v/>
      </c>
      <c r="F243" s="12" t="str">
        <f>IF(Инвентаризация!C243="","",Инвентаризация!G243)</f>
        <v/>
      </c>
      <c r="G243" s="12" t="str">
        <f t="shared" si="15"/>
        <v/>
      </c>
      <c r="H243" s="13" t="str">
        <f t="shared" si="16"/>
        <v/>
      </c>
      <c r="I243" s="12" t="str">
        <f t="shared" si="17"/>
        <v/>
      </c>
      <c r="J243" s="12" t="str">
        <f t="shared" si="18"/>
        <v/>
      </c>
      <c r="K243" s="12" t="str">
        <f t="shared" si="19"/>
        <v/>
      </c>
      <c r="L243" s="10" t="str">
        <f>IF(Инвентаризация!C243="","",Инвентаризация!M243)</f>
        <v/>
      </c>
      <c r="M243" s="10" t="str">
        <f>IF(Инвентаризация!C243="","",Инвентаризация!N243)</f>
        <v/>
      </c>
      <c r="N243" s="10" t="str">
        <f>IF(Инвентаризация!C243="","",Инвентаризация!O243)</f>
        <v/>
      </c>
      <c r="O243" s="10" t="str">
        <f>IF(Инвентаризация!C243="","",Инвентаризация!P243)</f>
        <v/>
      </c>
      <c r="P243" s="8" t="str">
        <f>IF(Инвентаризация!C243="","",Инвентаризация!Q243)</f>
        <v/>
      </c>
    </row>
    <row r="244" spans="1:16">
      <c r="A244" s="10" t="str">
        <f>IF(Инвентаризация!C244="","",Инвентаризация!B244)</f>
        <v/>
      </c>
      <c r="B244" s="10" t="str">
        <f>IF(Инвентаризация!C244="","",Инвентаризация!C244)</f>
        <v/>
      </c>
      <c r="C244" s="5" t="str">
        <f>IF(Инвентаризация!C244="","",Инвентаризация!D244)</f>
        <v/>
      </c>
      <c r="D244" s="11" t="str">
        <f>IF(Инвентаризация!C244="","",Инвентаризация!E244)</f>
        <v/>
      </c>
      <c r="E244" s="12" t="str">
        <f>IF(Инвентаризация!C244="","",Инвентаризация!F244)</f>
        <v/>
      </c>
      <c r="F244" s="12" t="str">
        <f>IF(Инвентаризация!C244="","",Инвентаризация!G244)</f>
        <v/>
      </c>
      <c r="G244" s="12" t="str">
        <f t="shared" si="15"/>
        <v/>
      </c>
      <c r="H244" s="13" t="str">
        <f t="shared" si="16"/>
        <v/>
      </c>
      <c r="I244" s="12" t="str">
        <f t="shared" si="17"/>
        <v/>
      </c>
      <c r="J244" s="12" t="str">
        <f t="shared" si="18"/>
        <v/>
      </c>
      <c r="K244" s="12" t="str">
        <f t="shared" si="19"/>
        <v/>
      </c>
      <c r="L244" s="10" t="str">
        <f>IF(Инвентаризация!C244="","",Инвентаризация!M244)</f>
        <v/>
      </c>
      <c r="M244" s="10" t="str">
        <f>IF(Инвентаризация!C244="","",Инвентаризация!N244)</f>
        <v/>
      </c>
      <c r="N244" s="10" t="str">
        <f>IF(Инвентаризация!C244="","",Инвентаризация!O244)</f>
        <v/>
      </c>
      <c r="O244" s="10" t="str">
        <f>IF(Инвентаризация!C244="","",Инвентаризация!P244)</f>
        <v/>
      </c>
      <c r="P244" s="8" t="str">
        <f>IF(Инвентаризация!C244="","",Инвентаризация!Q244)</f>
        <v/>
      </c>
    </row>
    <row r="245" spans="1:16">
      <c r="A245" s="10" t="str">
        <f>IF(Инвентаризация!C245="","",Инвентаризация!B245)</f>
        <v/>
      </c>
      <c r="B245" s="10" t="str">
        <f>IF(Инвентаризация!C245="","",Инвентаризация!C245)</f>
        <v/>
      </c>
      <c r="C245" s="5" t="str">
        <f>IF(Инвентаризация!C245="","",Инвентаризация!D245)</f>
        <v/>
      </c>
      <c r="D245" s="11" t="str">
        <f>IF(Инвентаризация!C245="","",Инвентаризация!E245)</f>
        <v/>
      </c>
      <c r="E245" s="12" t="str">
        <f>IF(Инвентаризация!C245="","",Инвентаризация!F245)</f>
        <v/>
      </c>
      <c r="F245" s="12" t="str">
        <f>IF(Инвентаризация!C245="","",Инвентаризация!G245)</f>
        <v/>
      </c>
      <c r="G245" s="12" t="str">
        <f t="shared" si="15"/>
        <v/>
      </c>
      <c r="H245" s="13" t="str">
        <f t="shared" si="16"/>
        <v/>
      </c>
      <c r="I245" s="12" t="str">
        <f t="shared" si="17"/>
        <v/>
      </c>
      <c r="J245" s="12" t="str">
        <f t="shared" si="18"/>
        <v/>
      </c>
      <c r="K245" s="12" t="str">
        <f t="shared" si="19"/>
        <v/>
      </c>
      <c r="L245" s="10" t="str">
        <f>IF(Инвентаризация!C245="","",Инвентаризация!M245)</f>
        <v/>
      </c>
      <c r="M245" s="10" t="str">
        <f>IF(Инвентаризация!C245="","",Инвентаризация!N245)</f>
        <v/>
      </c>
      <c r="N245" s="10" t="str">
        <f>IF(Инвентаризация!C245="","",Инвентаризация!O245)</f>
        <v/>
      </c>
      <c r="O245" s="10" t="str">
        <f>IF(Инвентаризация!C245="","",Инвентаризация!P245)</f>
        <v/>
      </c>
      <c r="P245" s="8" t="str">
        <f>IF(Инвентаризация!C245="","",Инвентаризация!Q245)</f>
        <v/>
      </c>
    </row>
    <row r="246" spans="1:16">
      <c r="A246" s="10" t="str">
        <f>IF(Инвентаризация!C246="","",Инвентаризация!B246)</f>
        <v/>
      </c>
      <c r="B246" s="10" t="str">
        <f>IF(Инвентаризация!C246="","",Инвентаризация!C246)</f>
        <v/>
      </c>
      <c r="C246" s="5" t="str">
        <f>IF(Инвентаризация!C246="","",Инвентаризация!D246)</f>
        <v/>
      </c>
      <c r="D246" s="11" t="str">
        <f>IF(Инвентаризация!C246="","",Инвентаризация!E246)</f>
        <v/>
      </c>
      <c r="E246" s="12" t="str">
        <f>IF(Инвентаризация!C246="","",Инвентаризация!F246)</f>
        <v/>
      </c>
      <c r="F246" s="12" t="str">
        <f>IF(Инвентаризация!C246="","",Инвентаризация!G246)</f>
        <v/>
      </c>
      <c r="G246" s="12" t="str">
        <f t="shared" si="15"/>
        <v/>
      </c>
      <c r="H246" s="13" t="str">
        <f t="shared" si="16"/>
        <v/>
      </c>
      <c r="I246" s="12" t="str">
        <f t="shared" si="17"/>
        <v/>
      </c>
      <c r="J246" s="12" t="str">
        <f t="shared" si="18"/>
        <v/>
      </c>
      <c r="K246" s="12" t="str">
        <f t="shared" si="19"/>
        <v/>
      </c>
      <c r="L246" s="10" t="str">
        <f>IF(Инвентаризация!C246="","",Инвентаризация!M246)</f>
        <v/>
      </c>
      <c r="M246" s="10" t="str">
        <f>IF(Инвентаризация!C246="","",Инвентаризация!N246)</f>
        <v/>
      </c>
      <c r="N246" s="10" t="str">
        <f>IF(Инвентаризация!C246="","",Инвентаризация!O246)</f>
        <v/>
      </c>
      <c r="O246" s="10" t="str">
        <f>IF(Инвентаризация!C246="","",Инвентаризация!P246)</f>
        <v/>
      </c>
      <c r="P246" s="8" t="str">
        <f>IF(Инвентаризация!C246="","",Инвентаризация!Q246)</f>
        <v/>
      </c>
    </row>
    <row r="247" spans="1:16">
      <c r="A247" s="10" t="str">
        <f>IF(Инвентаризация!C247="","",Инвентаризация!B247)</f>
        <v/>
      </c>
      <c r="B247" s="10" t="str">
        <f>IF(Инвентаризация!C247="","",Инвентаризация!C247)</f>
        <v/>
      </c>
      <c r="C247" s="5" t="str">
        <f>IF(Инвентаризация!C247="","",Инвентаризация!D247)</f>
        <v/>
      </c>
      <c r="D247" s="11" t="str">
        <f>IF(Инвентаризация!C247="","",Инвентаризация!E247)</f>
        <v/>
      </c>
      <c r="E247" s="12" t="str">
        <f>IF(Инвентаризация!C247="","",Инвентаризация!F247)</f>
        <v/>
      </c>
      <c r="F247" s="12" t="str">
        <f>IF(Инвентаризация!C247="","",Инвентаризация!G247)</f>
        <v/>
      </c>
      <c r="G247" s="12" t="str">
        <f t="shared" si="15"/>
        <v/>
      </c>
      <c r="H247" s="13" t="str">
        <f t="shared" si="16"/>
        <v/>
      </c>
      <c r="I247" s="12" t="str">
        <f t="shared" si="17"/>
        <v/>
      </c>
      <c r="J247" s="12" t="str">
        <f t="shared" si="18"/>
        <v/>
      </c>
      <c r="K247" s="12" t="str">
        <f t="shared" si="19"/>
        <v/>
      </c>
      <c r="L247" s="10" t="str">
        <f>IF(Инвентаризация!C247="","",Инвентаризация!M247)</f>
        <v/>
      </c>
      <c r="M247" s="10" t="str">
        <f>IF(Инвентаризация!C247="","",Инвентаризация!N247)</f>
        <v/>
      </c>
      <c r="N247" s="10" t="str">
        <f>IF(Инвентаризация!C247="","",Инвентаризация!O247)</f>
        <v/>
      </c>
      <c r="O247" s="10" t="str">
        <f>IF(Инвентаризация!C247="","",Инвентаризация!P247)</f>
        <v/>
      </c>
      <c r="P247" s="8" t="str">
        <f>IF(Инвентаризация!C247="","",Инвентаризация!Q247)</f>
        <v/>
      </c>
    </row>
    <row r="248" spans="1:16">
      <c r="A248" s="10" t="str">
        <f>IF(Инвентаризация!C248="","",Инвентаризация!B248)</f>
        <v/>
      </c>
      <c r="B248" s="10" t="str">
        <f>IF(Инвентаризация!C248="","",Инвентаризация!C248)</f>
        <v/>
      </c>
      <c r="C248" s="5" t="str">
        <f>IF(Инвентаризация!C248="","",Инвентаризация!D248)</f>
        <v/>
      </c>
      <c r="D248" s="11" t="str">
        <f>IF(Инвентаризация!C248="","",Инвентаризация!E248)</f>
        <v/>
      </c>
      <c r="E248" s="12" t="str">
        <f>IF(Инвентаризация!C248="","",Инвентаризация!F248)</f>
        <v/>
      </c>
      <c r="F248" s="12" t="str">
        <f>IF(Инвентаризация!C248="","",Инвентаризация!G248)</f>
        <v/>
      </c>
      <c r="G248" s="12" t="str">
        <f t="shared" si="15"/>
        <v/>
      </c>
      <c r="H248" s="13" t="str">
        <f t="shared" si="16"/>
        <v/>
      </c>
      <c r="I248" s="12" t="str">
        <f t="shared" si="17"/>
        <v/>
      </c>
      <c r="J248" s="12" t="str">
        <f t="shared" si="18"/>
        <v/>
      </c>
      <c r="K248" s="12" t="str">
        <f t="shared" si="19"/>
        <v/>
      </c>
      <c r="L248" s="10" t="str">
        <f>IF(Инвентаризация!C248="","",Инвентаризация!M248)</f>
        <v/>
      </c>
      <c r="M248" s="10" t="str">
        <f>IF(Инвентаризация!C248="","",Инвентаризация!N248)</f>
        <v/>
      </c>
      <c r="N248" s="10" t="str">
        <f>IF(Инвентаризация!C248="","",Инвентаризация!O248)</f>
        <v/>
      </c>
      <c r="O248" s="10" t="str">
        <f>IF(Инвентаризация!C248="","",Инвентаризация!P248)</f>
        <v/>
      </c>
      <c r="P248" s="8" t="str">
        <f>IF(Инвентаризация!C248="","",Инвентаризация!Q248)</f>
        <v/>
      </c>
    </row>
    <row r="249" spans="1:16">
      <c r="A249" s="10" t="str">
        <f>IF(Инвентаризация!C249="","",Инвентаризация!B249)</f>
        <v/>
      </c>
      <c r="B249" s="10" t="str">
        <f>IF(Инвентаризация!C249="","",Инвентаризация!C249)</f>
        <v/>
      </c>
      <c r="C249" s="5" t="str">
        <f>IF(Инвентаризация!C249="","",Инвентаризация!D249)</f>
        <v/>
      </c>
      <c r="D249" s="11" t="str">
        <f>IF(Инвентаризация!C249="","",Инвентаризация!E249)</f>
        <v/>
      </c>
      <c r="E249" s="12" t="str">
        <f>IF(Инвентаризация!C249="","",Инвентаризация!F249)</f>
        <v/>
      </c>
      <c r="F249" s="12" t="str">
        <f>IF(Инвентаризация!C249="","",Инвентаризация!G249)</f>
        <v/>
      </c>
      <c r="G249" s="12" t="str">
        <f t="shared" si="15"/>
        <v/>
      </c>
      <c r="H249" s="13" t="str">
        <f t="shared" si="16"/>
        <v/>
      </c>
      <c r="I249" s="12" t="str">
        <f t="shared" si="17"/>
        <v/>
      </c>
      <c r="J249" s="12" t="str">
        <f t="shared" si="18"/>
        <v/>
      </c>
      <c r="K249" s="12" t="str">
        <f t="shared" si="19"/>
        <v/>
      </c>
      <c r="L249" s="10" t="str">
        <f>IF(Инвентаризация!C249="","",Инвентаризация!M249)</f>
        <v/>
      </c>
      <c r="M249" s="10" t="str">
        <f>IF(Инвентаризация!C249="","",Инвентаризация!N249)</f>
        <v/>
      </c>
      <c r="N249" s="10" t="str">
        <f>IF(Инвентаризация!C249="","",Инвентаризация!O249)</f>
        <v/>
      </c>
      <c r="O249" s="10" t="str">
        <f>IF(Инвентаризация!C249="","",Инвентаризация!P249)</f>
        <v/>
      </c>
      <c r="P249" s="8" t="str">
        <f>IF(Инвентаризация!C249="","",Инвентаризация!Q249)</f>
        <v/>
      </c>
    </row>
    <row r="250" spans="1:16">
      <c r="A250" s="10" t="str">
        <f>IF(Инвентаризация!C250="","",Инвентаризация!B250)</f>
        <v/>
      </c>
      <c r="B250" s="10" t="str">
        <f>IF(Инвентаризация!C250="","",Инвентаризация!C250)</f>
        <v/>
      </c>
      <c r="C250" s="5" t="str">
        <f>IF(Инвентаризация!C250="","",Инвентаризация!D250)</f>
        <v/>
      </c>
      <c r="D250" s="11" t="str">
        <f>IF(Инвентаризация!C250="","",Инвентаризация!E250)</f>
        <v/>
      </c>
      <c r="E250" s="12" t="str">
        <f>IF(Инвентаризация!C250="","",Инвентаризация!F250)</f>
        <v/>
      </c>
      <c r="F250" s="12" t="str">
        <f>IF(Инвентаризация!C250="","",Инвентаризация!G250)</f>
        <v/>
      </c>
      <c r="G250" s="12" t="str">
        <f t="shared" si="15"/>
        <v/>
      </c>
      <c r="H250" s="13" t="str">
        <f t="shared" si="16"/>
        <v/>
      </c>
      <c r="I250" s="12" t="str">
        <f t="shared" si="17"/>
        <v/>
      </c>
      <c r="J250" s="12" t="str">
        <f t="shared" si="18"/>
        <v/>
      </c>
      <c r="K250" s="12" t="str">
        <f t="shared" si="19"/>
        <v/>
      </c>
      <c r="L250" s="10" t="str">
        <f>IF(Инвентаризация!C250="","",Инвентаризация!M250)</f>
        <v/>
      </c>
      <c r="M250" s="10" t="str">
        <f>IF(Инвентаризация!C250="","",Инвентаризация!N250)</f>
        <v/>
      </c>
      <c r="N250" s="10" t="str">
        <f>IF(Инвентаризация!C250="","",Инвентаризация!O250)</f>
        <v/>
      </c>
      <c r="O250" s="10" t="str">
        <f>IF(Инвентаризация!C250="","",Инвентаризация!P250)</f>
        <v/>
      </c>
      <c r="P250" s="8" t="str">
        <f>IF(Инвентаризация!C250="","",Инвентаризация!Q250)</f>
        <v/>
      </c>
    </row>
    <row r="251" spans="1:16">
      <c r="A251" s="10" t="str">
        <f>IF(Инвентаризация!C251="","",Инвентаризация!B251)</f>
        <v/>
      </c>
      <c r="B251" s="10" t="str">
        <f>IF(Инвентаризация!C251="","",Инвентаризация!C251)</f>
        <v/>
      </c>
      <c r="C251" s="5" t="str">
        <f>IF(Инвентаризация!C251="","",Инвентаризация!D251)</f>
        <v/>
      </c>
      <c r="D251" s="11" t="str">
        <f>IF(Инвентаризация!C251="","",Инвентаризация!E251)</f>
        <v/>
      </c>
      <c r="E251" s="12" t="str">
        <f>IF(Инвентаризация!C251="","",Инвентаризация!F251)</f>
        <v/>
      </c>
      <c r="F251" s="12" t="str">
        <f>IF(Инвентаризация!C251="","",Инвентаризация!G251)</f>
        <v/>
      </c>
      <c r="G251" s="12" t="str">
        <f t="shared" si="15"/>
        <v/>
      </c>
      <c r="H251" s="13" t="str">
        <f t="shared" si="16"/>
        <v/>
      </c>
      <c r="I251" s="12" t="str">
        <f t="shared" si="17"/>
        <v/>
      </c>
      <c r="J251" s="12" t="str">
        <f t="shared" si="18"/>
        <v/>
      </c>
      <c r="K251" s="12" t="str">
        <f t="shared" si="19"/>
        <v/>
      </c>
      <c r="L251" s="10" t="str">
        <f>IF(Инвентаризация!C251="","",Инвентаризация!M251)</f>
        <v/>
      </c>
      <c r="M251" s="10" t="str">
        <f>IF(Инвентаризация!C251="","",Инвентаризация!N251)</f>
        <v/>
      </c>
      <c r="N251" s="10" t="str">
        <f>IF(Инвентаризация!C251="","",Инвентаризация!O251)</f>
        <v/>
      </c>
      <c r="O251" s="10" t="str">
        <f>IF(Инвентаризация!C251="","",Инвентаризация!P251)</f>
        <v/>
      </c>
      <c r="P251" s="8" t="str">
        <f>IF(Инвентаризация!C251="","",Инвентаризация!Q251)</f>
        <v/>
      </c>
    </row>
    <row r="252" spans="1:16">
      <c r="A252" s="10" t="str">
        <f>IF(Инвентаризация!C252="","",Инвентаризация!B252)</f>
        <v/>
      </c>
      <c r="B252" s="10" t="str">
        <f>IF(Инвентаризация!C252="","",Инвентаризация!C252)</f>
        <v/>
      </c>
      <c r="C252" s="5" t="str">
        <f>IF(Инвентаризация!C252="","",Инвентаризация!D252)</f>
        <v/>
      </c>
      <c r="D252" s="11" t="str">
        <f>IF(Инвентаризация!C252="","",Инвентаризация!E252)</f>
        <v/>
      </c>
      <c r="E252" s="12" t="str">
        <f>IF(Инвентаризация!C252="","",Инвентаризация!F252)</f>
        <v/>
      </c>
      <c r="F252" s="12" t="str">
        <f>IF(Инвентаризация!C252="","",Инвентаризация!G252)</f>
        <v/>
      </c>
      <c r="G252" s="12" t="str">
        <f t="shared" si="15"/>
        <v/>
      </c>
      <c r="H252" s="13" t="str">
        <f t="shared" si="16"/>
        <v/>
      </c>
      <c r="I252" s="12" t="str">
        <f t="shared" si="17"/>
        <v/>
      </c>
      <c r="J252" s="12" t="str">
        <f t="shared" si="18"/>
        <v/>
      </c>
      <c r="K252" s="12" t="str">
        <f t="shared" si="19"/>
        <v/>
      </c>
      <c r="L252" s="10" t="str">
        <f>IF(Инвентаризация!C252="","",Инвентаризация!M252)</f>
        <v/>
      </c>
      <c r="M252" s="10" t="str">
        <f>IF(Инвентаризация!C252="","",Инвентаризация!N252)</f>
        <v/>
      </c>
      <c r="N252" s="10" t="str">
        <f>IF(Инвентаризация!C252="","",Инвентаризация!O252)</f>
        <v/>
      </c>
      <c r="O252" s="10" t="str">
        <f>IF(Инвентаризация!C252="","",Инвентаризация!P252)</f>
        <v/>
      </c>
      <c r="P252" s="8" t="str">
        <f>IF(Инвентаризация!C252="","",Инвентаризация!Q252)</f>
        <v/>
      </c>
    </row>
    <row r="253" spans="1:16">
      <c r="A253" s="10" t="str">
        <f>IF(Инвентаризация!C253="","",Инвентаризация!B253)</f>
        <v/>
      </c>
      <c r="B253" s="10" t="str">
        <f>IF(Инвентаризация!C253="","",Инвентаризация!C253)</f>
        <v/>
      </c>
      <c r="C253" s="5" t="str">
        <f>IF(Инвентаризация!C253="","",Инвентаризация!D253)</f>
        <v/>
      </c>
      <c r="D253" s="11" t="str">
        <f>IF(Инвентаризация!C253="","",Инвентаризация!E253)</f>
        <v/>
      </c>
      <c r="E253" s="12" t="str">
        <f>IF(Инвентаризация!C253="","",Инвентаризация!F253)</f>
        <v/>
      </c>
      <c r="F253" s="12" t="str">
        <f>IF(Инвентаризация!C253="","",Инвентаризация!G253)</f>
        <v/>
      </c>
      <c r="G253" s="12" t="str">
        <f t="shared" si="15"/>
        <v/>
      </c>
      <c r="H253" s="13" t="str">
        <f t="shared" si="16"/>
        <v/>
      </c>
      <c r="I253" s="12" t="str">
        <f t="shared" si="17"/>
        <v/>
      </c>
      <c r="J253" s="12" t="str">
        <f t="shared" si="18"/>
        <v/>
      </c>
      <c r="K253" s="12" t="str">
        <f t="shared" si="19"/>
        <v/>
      </c>
      <c r="L253" s="10" t="str">
        <f>IF(Инвентаризация!C253="","",Инвентаризация!M253)</f>
        <v/>
      </c>
      <c r="M253" s="10" t="str">
        <f>IF(Инвентаризация!C253="","",Инвентаризация!N253)</f>
        <v/>
      </c>
      <c r="N253" s="10" t="str">
        <f>IF(Инвентаризация!C253="","",Инвентаризация!O253)</f>
        <v/>
      </c>
      <c r="O253" s="10" t="str">
        <f>IF(Инвентаризация!C253="","",Инвентаризация!P253)</f>
        <v/>
      </c>
      <c r="P253" s="8" t="str">
        <f>IF(Инвентаризация!C253="","",Инвентаризация!Q253)</f>
        <v/>
      </c>
    </row>
    <row r="254" spans="1:16">
      <c r="A254" s="10" t="str">
        <f>IF(Инвентаризация!C254="","",Инвентаризация!B254)</f>
        <v/>
      </c>
      <c r="B254" s="10" t="str">
        <f>IF(Инвентаризация!C254="","",Инвентаризация!C254)</f>
        <v/>
      </c>
      <c r="C254" s="5" t="str">
        <f>IF(Инвентаризация!C254="","",Инвентаризация!D254)</f>
        <v/>
      </c>
      <c r="D254" s="11" t="str">
        <f>IF(Инвентаризация!C254="","",Инвентаризация!E254)</f>
        <v/>
      </c>
      <c r="E254" s="12" t="str">
        <f>IF(Инвентаризация!C254="","",Инвентаризация!F254)</f>
        <v/>
      </c>
      <c r="F254" s="12" t="str">
        <f>IF(Инвентаризация!C254="","",Инвентаризация!G254)</f>
        <v/>
      </c>
      <c r="G254" s="12" t="str">
        <f t="shared" si="15"/>
        <v/>
      </c>
      <c r="H254" s="13" t="str">
        <f t="shared" si="16"/>
        <v/>
      </c>
      <c r="I254" s="12" t="str">
        <f t="shared" si="17"/>
        <v/>
      </c>
      <c r="J254" s="12" t="str">
        <f t="shared" si="18"/>
        <v/>
      </c>
      <c r="K254" s="12" t="str">
        <f t="shared" si="19"/>
        <v/>
      </c>
      <c r="L254" s="10" t="str">
        <f>IF(Инвентаризация!C254="","",Инвентаризация!M254)</f>
        <v/>
      </c>
      <c r="M254" s="10" t="str">
        <f>IF(Инвентаризация!C254="","",Инвентаризация!N254)</f>
        <v/>
      </c>
      <c r="N254" s="10" t="str">
        <f>IF(Инвентаризация!C254="","",Инвентаризация!O254)</f>
        <v/>
      </c>
      <c r="O254" s="10" t="str">
        <f>IF(Инвентаризация!C254="","",Инвентаризация!P254)</f>
        <v/>
      </c>
      <c r="P254" s="8" t="str">
        <f>IF(Инвентаризация!C254="","",Инвентаризация!Q254)</f>
        <v/>
      </c>
    </row>
    <row r="255" spans="1:16">
      <c r="A255" s="10" t="str">
        <f>IF(Инвентаризация!C255="","",Инвентаризация!B255)</f>
        <v/>
      </c>
      <c r="B255" s="10" t="str">
        <f>IF(Инвентаризация!C255="","",Инвентаризация!C255)</f>
        <v/>
      </c>
      <c r="C255" s="5" t="str">
        <f>IF(Инвентаризация!C255="","",Инвентаризация!D255)</f>
        <v/>
      </c>
      <c r="D255" s="11" t="str">
        <f>IF(Инвентаризация!C255="","",Инвентаризация!E255)</f>
        <v/>
      </c>
      <c r="E255" s="12" t="str">
        <f>IF(Инвентаризация!C255="","",Инвентаризация!F255)</f>
        <v/>
      </c>
      <c r="F255" s="12" t="str">
        <f>IF(Инвентаризация!C255="","",Инвентаризация!G255)</f>
        <v/>
      </c>
      <c r="G255" s="12" t="str">
        <f t="shared" si="15"/>
        <v/>
      </c>
      <c r="H255" s="13" t="str">
        <f t="shared" si="16"/>
        <v/>
      </c>
      <c r="I255" s="12" t="str">
        <f t="shared" si="17"/>
        <v/>
      </c>
      <c r="J255" s="12" t="str">
        <f t="shared" si="18"/>
        <v/>
      </c>
      <c r="K255" s="12" t="str">
        <f t="shared" si="19"/>
        <v/>
      </c>
      <c r="L255" s="10" t="str">
        <f>IF(Инвентаризация!C255="","",Инвентаризация!M255)</f>
        <v/>
      </c>
      <c r="M255" s="10" t="str">
        <f>IF(Инвентаризация!C255="","",Инвентаризация!N255)</f>
        <v/>
      </c>
      <c r="N255" s="10" t="str">
        <f>IF(Инвентаризация!C255="","",Инвентаризация!O255)</f>
        <v/>
      </c>
      <c r="O255" s="10" t="str">
        <f>IF(Инвентаризация!C255="","",Инвентаризация!P255)</f>
        <v/>
      </c>
      <c r="P255" s="8" t="str">
        <f>IF(Инвентаризация!C255="","",Инвентаризация!Q255)</f>
        <v/>
      </c>
    </row>
    <row r="256" spans="1:16">
      <c r="A256" s="10" t="str">
        <f>IF(Инвентаризация!C256="","",Инвентаризация!B256)</f>
        <v/>
      </c>
      <c r="B256" s="10" t="str">
        <f>IF(Инвентаризация!C256="","",Инвентаризация!C256)</f>
        <v/>
      </c>
      <c r="C256" s="5" t="str">
        <f>IF(Инвентаризация!C256="","",Инвентаризация!D256)</f>
        <v/>
      </c>
      <c r="D256" s="11" t="str">
        <f>IF(Инвентаризация!C256="","",Инвентаризация!E256)</f>
        <v/>
      </c>
      <c r="E256" s="12" t="str">
        <f>IF(Инвентаризация!C256="","",Инвентаризация!F256)</f>
        <v/>
      </c>
      <c r="F256" s="12" t="str">
        <f>IF(Инвентаризация!C256="","",Инвентаризация!G256)</f>
        <v/>
      </c>
      <c r="G256" s="12" t="str">
        <f t="shared" si="15"/>
        <v/>
      </c>
      <c r="H256" s="13" t="str">
        <f t="shared" si="16"/>
        <v/>
      </c>
      <c r="I256" s="12" t="str">
        <f t="shared" si="17"/>
        <v/>
      </c>
      <c r="J256" s="12" t="str">
        <f t="shared" si="18"/>
        <v/>
      </c>
      <c r="K256" s="12" t="str">
        <f t="shared" si="19"/>
        <v/>
      </c>
      <c r="L256" s="10" t="str">
        <f>IF(Инвентаризация!C256="","",Инвентаризация!M256)</f>
        <v/>
      </c>
      <c r="M256" s="10" t="str">
        <f>IF(Инвентаризация!C256="","",Инвентаризация!N256)</f>
        <v/>
      </c>
      <c r="N256" s="10" t="str">
        <f>IF(Инвентаризация!C256="","",Инвентаризация!O256)</f>
        <v/>
      </c>
      <c r="O256" s="10" t="str">
        <f>IF(Инвентаризация!C256="","",Инвентаризация!P256)</f>
        <v/>
      </c>
      <c r="P256" s="8" t="str">
        <f>IF(Инвентаризация!C256="","",Инвентаризация!Q256)</f>
        <v/>
      </c>
    </row>
    <row r="257" spans="1:16">
      <c r="A257" s="10" t="str">
        <f>IF(Инвентаризация!C257="","",Инвентаризация!B257)</f>
        <v/>
      </c>
      <c r="B257" s="10" t="str">
        <f>IF(Инвентаризация!C257="","",Инвентаризация!C257)</f>
        <v/>
      </c>
      <c r="C257" s="5" t="str">
        <f>IF(Инвентаризация!C257="","",Инвентаризация!D257)</f>
        <v/>
      </c>
      <c r="D257" s="11" t="str">
        <f>IF(Инвентаризация!C257="","",Инвентаризация!E257)</f>
        <v/>
      </c>
      <c r="E257" s="12" t="str">
        <f>IF(Инвентаризация!C257="","",Инвентаризация!F257)</f>
        <v/>
      </c>
      <c r="F257" s="12" t="str">
        <f>IF(Инвентаризация!C257="","",Инвентаризация!G257)</f>
        <v/>
      </c>
      <c r="G257" s="12" t="str">
        <f t="shared" si="15"/>
        <v/>
      </c>
      <c r="H257" s="13" t="str">
        <f t="shared" si="16"/>
        <v/>
      </c>
      <c r="I257" s="12" t="str">
        <f t="shared" si="17"/>
        <v/>
      </c>
      <c r="J257" s="12" t="str">
        <f t="shared" si="18"/>
        <v/>
      </c>
      <c r="K257" s="12" t="str">
        <f t="shared" si="19"/>
        <v/>
      </c>
      <c r="L257" s="10" t="str">
        <f>IF(Инвентаризация!C257="","",Инвентаризация!M257)</f>
        <v/>
      </c>
      <c r="M257" s="10" t="str">
        <f>IF(Инвентаризация!C257="","",Инвентаризация!N257)</f>
        <v/>
      </c>
      <c r="N257" s="10" t="str">
        <f>IF(Инвентаризация!C257="","",Инвентаризация!O257)</f>
        <v/>
      </c>
      <c r="O257" s="10" t="str">
        <f>IF(Инвентаризация!C257="","",Инвентаризация!P257)</f>
        <v/>
      </c>
      <c r="P257" s="8" t="str">
        <f>IF(Инвентаризация!C257="","",Инвентаризация!Q257)</f>
        <v/>
      </c>
    </row>
    <row r="258" spans="1:16">
      <c r="A258" s="10" t="str">
        <f>IF(Инвентаризация!C258="","",Инвентаризация!B258)</f>
        <v/>
      </c>
      <c r="B258" s="10" t="str">
        <f>IF(Инвентаризация!C258="","",Инвентаризация!C258)</f>
        <v/>
      </c>
      <c r="C258" s="5" t="str">
        <f>IF(Инвентаризация!C258="","",Инвентаризация!D258)</f>
        <v/>
      </c>
      <c r="D258" s="11" t="str">
        <f>IF(Инвентаризация!C258="","",Инвентаризация!E258)</f>
        <v/>
      </c>
      <c r="E258" s="12" t="str">
        <f>IF(Инвентаризация!C258="","",Инвентаризация!F258)</f>
        <v/>
      </c>
      <c r="F258" s="12" t="str">
        <f>IF(Инвентаризация!C258="","",Инвентаризация!G258)</f>
        <v/>
      </c>
      <c r="G258" s="12" t="str">
        <f t="shared" ref="G258:G321" si="20">IF(OR(E258="",F258=""),"",F258-E258)</f>
        <v/>
      </c>
      <c r="H258" s="13" t="str">
        <f t="shared" ref="H258:H321" si="21">IFERROR(G258/F258,"")</f>
        <v/>
      </c>
      <c r="I258" s="12" t="str">
        <f t="shared" ref="I258:I321" si="22">IF(OR(D258="",E258=""),"",D258*E258)</f>
        <v/>
      </c>
      <c r="J258" s="12" t="str">
        <f t="shared" ref="J258:J321" si="23">IF(OR(D258="",F258=""),"",D258*F258)</f>
        <v/>
      </c>
      <c r="K258" s="12" t="str">
        <f t="shared" ref="K258:K321" si="24">IF(OR(D258="",G258=""),"",D258*G258)</f>
        <v/>
      </c>
      <c r="L258" s="10" t="str">
        <f>IF(Инвентаризация!C258="","",Инвентаризация!M258)</f>
        <v/>
      </c>
      <c r="M258" s="10" t="str">
        <f>IF(Инвентаризация!C258="","",Инвентаризация!N258)</f>
        <v/>
      </c>
      <c r="N258" s="10" t="str">
        <f>IF(Инвентаризация!C258="","",Инвентаризация!O258)</f>
        <v/>
      </c>
      <c r="O258" s="10" t="str">
        <f>IF(Инвентаризация!C258="","",Инвентаризация!P258)</f>
        <v/>
      </c>
      <c r="P258" s="8" t="str">
        <f>IF(Инвентаризация!C258="","",Инвентаризация!Q258)</f>
        <v/>
      </c>
    </row>
    <row r="259" spans="1:16">
      <c r="A259" s="10" t="str">
        <f>IF(Инвентаризация!C259="","",Инвентаризация!B259)</f>
        <v/>
      </c>
      <c r="B259" s="10" t="str">
        <f>IF(Инвентаризация!C259="","",Инвентаризация!C259)</f>
        <v/>
      </c>
      <c r="C259" s="5" t="str">
        <f>IF(Инвентаризация!C259="","",Инвентаризация!D259)</f>
        <v/>
      </c>
      <c r="D259" s="11" t="str">
        <f>IF(Инвентаризация!C259="","",Инвентаризация!E259)</f>
        <v/>
      </c>
      <c r="E259" s="12" t="str">
        <f>IF(Инвентаризация!C259="","",Инвентаризация!F259)</f>
        <v/>
      </c>
      <c r="F259" s="12" t="str">
        <f>IF(Инвентаризация!C259="","",Инвентаризация!G259)</f>
        <v/>
      </c>
      <c r="G259" s="12" t="str">
        <f t="shared" si="20"/>
        <v/>
      </c>
      <c r="H259" s="13" t="str">
        <f t="shared" si="21"/>
        <v/>
      </c>
      <c r="I259" s="12" t="str">
        <f t="shared" si="22"/>
        <v/>
      </c>
      <c r="J259" s="12" t="str">
        <f t="shared" si="23"/>
        <v/>
      </c>
      <c r="K259" s="12" t="str">
        <f t="shared" si="24"/>
        <v/>
      </c>
      <c r="L259" s="10" t="str">
        <f>IF(Инвентаризация!C259="","",Инвентаризация!M259)</f>
        <v/>
      </c>
      <c r="M259" s="10" t="str">
        <f>IF(Инвентаризация!C259="","",Инвентаризация!N259)</f>
        <v/>
      </c>
      <c r="N259" s="10" t="str">
        <f>IF(Инвентаризация!C259="","",Инвентаризация!O259)</f>
        <v/>
      </c>
      <c r="O259" s="10" t="str">
        <f>IF(Инвентаризация!C259="","",Инвентаризация!P259)</f>
        <v/>
      </c>
      <c r="P259" s="8" t="str">
        <f>IF(Инвентаризация!C259="","",Инвентаризация!Q259)</f>
        <v/>
      </c>
    </row>
    <row r="260" spans="1:16">
      <c r="A260" s="10" t="str">
        <f>IF(Инвентаризация!C260="","",Инвентаризация!B260)</f>
        <v/>
      </c>
      <c r="B260" s="10" t="str">
        <f>IF(Инвентаризация!C260="","",Инвентаризация!C260)</f>
        <v/>
      </c>
      <c r="C260" s="5" t="str">
        <f>IF(Инвентаризация!C260="","",Инвентаризация!D260)</f>
        <v/>
      </c>
      <c r="D260" s="11" t="str">
        <f>IF(Инвентаризация!C260="","",Инвентаризация!E260)</f>
        <v/>
      </c>
      <c r="E260" s="12" t="str">
        <f>IF(Инвентаризация!C260="","",Инвентаризация!F260)</f>
        <v/>
      </c>
      <c r="F260" s="12" t="str">
        <f>IF(Инвентаризация!C260="","",Инвентаризация!G260)</f>
        <v/>
      </c>
      <c r="G260" s="12" t="str">
        <f t="shared" si="20"/>
        <v/>
      </c>
      <c r="H260" s="13" t="str">
        <f t="shared" si="21"/>
        <v/>
      </c>
      <c r="I260" s="12" t="str">
        <f t="shared" si="22"/>
        <v/>
      </c>
      <c r="J260" s="12" t="str">
        <f t="shared" si="23"/>
        <v/>
      </c>
      <c r="K260" s="12" t="str">
        <f t="shared" si="24"/>
        <v/>
      </c>
      <c r="L260" s="10" t="str">
        <f>IF(Инвентаризация!C260="","",Инвентаризация!M260)</f>
        <v/>
      </c>
      <c r="M260" s="10" t="str">
        <f>IF(Инвентаризация!C260="","",Инвентаризация!N260)</f>
        <v/>
      </c>
      <c r="N260" s="10" t="str">
        <f>IF(Инвентаризация!C260="","",Инвентаризация!O260)</f>
        <v/>
      </c>
      <c r="O260" s="10" t="str">
        <f>IF(Инвентаризация!C260="","",Инвентаризация!P260)</f>
        <v/>
      </c>
      <c r="P260" s="8" t="str">
        <f>IF(Инвентаризация!C260="","",Инвентаризация!Q260)</f>
        <v/>
      </c>
    </row>
    <row r="261" spans="1:16">
      <c r="A261" s="10" t="str">
        <f>IF(Инвентаризация!C261="","",Инвентаризация!B261)</f>
        <v/>
      </c>
      <c r="B261" s="10" t="str">
        <f>IF(Инвентаризация!C261="","",Инвентаризация!C261)</f>
        <v/>
      </c>
      <c r="C261" s="5" t="str">
        <f>IF(Инвентаризация!C261="","",Инвентаризация!D261)</f>
        <v/>
      </c>
      <c r="D261" s="11" t="str">
        <f>IF(Инвентаризация!C261="","",Инвентаризация!E261)</f>
        <v/>
      </c>
      <c r="E261" s="12" t="str">
        <f>IF(Инвентаризация!C261="","",Инвентаризация!F261)</f>
        <v/>
      </c>
      <c r="F261" s="12" t="str">
        <f>IF(Инвентаризация!C261="","",Инвентаризация!G261)</f>
        <v/>
      </c>
      <c r="G261" s="12" t="str">
        <f t="shared" si="20"/>
        <v/>
      </c>
      <c r="H261" s="13" t="str">
        <f t="shared" si="21"/>
        <v/>
      </c>
      <c r="I261" s="12" t="str">
        <f t="shared" si="22"/>
        <v/>
      </c>
      <c r="J261" s="12" t="str">
        <f t="shared" si="23"/>
        <v/>
      </c>
      <c r="K261" s="12" t="str">
        <f t="shared" si="24"/>
        <v/>
      </c>
      <c r="L261" s="10" t="str">
        <f>IF(Инвентаризация!C261="","",Инвентаризация!M261)</f>
        <v/>
      </c>
      <c r="M261" s="10" t="str">
        <f>IF(Инвентаризация!C261="","",Инвентаризация!N261)</f>
        <v/>
      </c>
      <c r="N261" s="10" t="str">
        <f>IF(Инвентаризация!C261="","",Инвентаризация!O261)</f>
        <v/>
      </c>
      <c r="O261" s="10" t="str">
        <f>IF(Инвентаризация!C261="","",Инвентаризация!P261)</f>
        <v/>
      </c>
      <c r="P261" s="8" t="str">
        <f>IF(Инвентаризация!C261="","",Инвентаризация!Q261)</f>
        <v/>
      </c>
    </row>
    <row r="262" spans="1:16">
      <c r="A262" s="10" t="str">
        <f>IF(Инвентаризация!C262="","",Инвентаризация!B262)</f>
        <v/>
      </c>
      <c r="B262" s="10" t="str">
        <f>IF(Инвентаризация!C262="","",Инвентаризация!C262)</f>
        <v/>
      </c>
      <c r="C262" s="5" t="str">
        <f>IF(Инвентаризация!C262="","",Инвентаризация!D262)</f>
        <v/>
      </c>
      <c r="D262" s="11" t="str">
        <f>IF(Инвентаризация!C262="","",Инвентаризация!E262)</f>
        <v/>
      </c>
      <c r="E262" s="12" t="str">
        <f>IF(Инвентаризация!C262="","",Инвентаризация!F262)</f>
        <v/>
      </c>
      <c r="F262" s="12" t="str">
        <f>IF(Инвентаризация!C262="","",Инвентаризация!G262)</f>
        <v/>
      </c>
      <c r="G262" s="12" t="str">
        <f t="shared" si="20"/>
        <v/>
      </c>
      <c r="H262" s="13" t="str">
        <f t="shared" si="21"/>
        <v/>
      </c>
      <c r="I262" s="12" t="str">
        <f t="shared" si="22"/>
        <v/>
      </c>
      <c r="J262" s="12" t="str">
        <f t="shared" si="23"/>
        <v/>
      </c>
      <c r="K262" s="12" t="str">
        <f t="shared" si="24"/>
        <v/>
      </c>
      <c r="L262" s="10" t="str">
        <f>IF(Инвентаризация!C262="","",Инвентаризация!M262)</f>
        <v/>
      </c>
      <c r="M262" s="10" t="str">
        <f>IF(Инвентаризация!C262="","",Инвентаризация!N262)</f>
        <v/>
      </c>
      <c r="N262" s="10" t="str">
        <f>IF(Инвентаризация!C262="","",Инвентаризация!O262)</f>
        <v/>
      </c>
      <c r="O262" s="10" t="str">
        <f>IF(Инвентаризация!C262="","",Инвентаризация!P262)</f>
        <v/>
      </c>
      <c r="P262" s="8" t="str">
        <f>IF(Инвентаризация!C262="","",Инвентаризация!Q262)</f>
        <v/>
      </c>
    </row>
    <row r="263" spans="1:16">
      <c r="A263" s="10" t="str">
        <f>IF(Инвентаризация!C263="","",Инвентаризация!B263)</f>
        <v/>
      </c>
      <c r="B263" s="10" t="str">
        <f>IF(Инвентаризация!C263="","",Инвентаризация!C263)</f>
        <v/>
      </c>
      <c r="C263" s="5" t="str">
        <f>IF(Инвентаризация!C263="","",Инвентаризация!D263)</f>
        <v/>
      </c>
      <c r="D263" s="11" t="str">
        <f>IF(Инвентаризация!C263="","",Инвентаризация!E263)</f>
        <v/>
      </c>
      <c r="E263" s="12" t="str">
        <f>IF(Инвентаризация!C263="","",Инвентаризация!F263)</f>
        <v/>
      </c>
      <c r="F263" s="12" t="str">
        <f>IF(Инвентаризация!C263="","",Инвентаризация!G263)</f>
        <v/>
      </c>
      <c r="G263" s="12" t="str">
        <f t="shared" si="20"/>
        <v/>
      </c>
      <c r="H263" s="13" t="str">
        <f t="shared" si="21"/>
        <v/>
      </c>
      <c r="I263" s="12" t="str">
        <f t="shared" si="22"/>
        <v/>
      </c>
      <c r="J263" s="12" t="str">
        <f t="shared" si="23"/>
        <v/>
      </c>
      <c r="K263" s="12" t="str">
        <f t="shared" si="24"/>
        <v/>
      </c>
      <c r="L263" s="10" t="str">
        <f>IF(Инвентаризация!C263="","",Инвентаризация!M263)</f>
        <v/>
      </c>
      <c r="M263" s="10" t="str">
        <f>IF(Инвентаризация!C263="","",Инвентаризация!N263)</f>
        <v/>
      </c>
      <c r="N263" s="10" t="str">
        <f>IF(Инвентаризация!C263="","",Инвентаризация!O263)</f>
        <v/>
      </c>
      <c r="O263" s="10" t="str">
        <f>IF(Инвентаризация!C263="","",Инвентаризация!P263)</f>
        <v/>
      </c>
      <c r="P263" s="8" t="str">
        <f>IF(Инвентаризация!C263="","",Инвентаризация!Q263)</f>
        <v/>
      </c>
    </row>
    <row r="264" spans="1:16">
      <c r="A264" s="10" t="str">
        <f>IF(Инвентаризация!C264="","",Инвентаризация!B264)</f>
        <v/>
      </c>
      <c r="B264" s="10" t="str">
        <f>IF(Инвентаризация!C264="","",Инвентаризация!C264)</f>
        <v/>
      </c>
      <c r="C264" s="5" t="str">
        <f>IF(Инвентаризация!C264="","",Инвентаризация!D264)</f>
        <v/>
      </c>
      <c r="D264" s="11" t="str">
        <f>IF(Инвентаризация!C264="","",Инвентаризация!E264)</f>
        <v/>
      </c>
      <c r="E264" s="12" t="str">
        <f>IF(Инвентаризация!C264="","",Инвентаризация!F264)</f>
        <v/>
      </c>
      <c r="F264" s="12" t="str">
        <f>IF(Инвентаризация!C264="","",Инвентаризация!G264)</f>
        <v/>
      </c>
      <c r="G264" s="12" t="str">
        <f t="shared" si="20"/>
        <v/>
      </c>
      <c r="H264" s="13" t="str">
        <f t="shared" si="21"/>
        <v/>
      </c>
      <c r="I264" s="12" t="str">
        <f t="shared" si="22"/>
        <v/>
      </c>
      <c r="J264" s="12" t="str">
        <f t="shared" si="23"/>
        <v/>
      </c>
      <c r="K264" s="12" t="str">
        <f t="shared" si="24"/>
        <v/>
      </c>
      <c r="L264" s="10" t="str">
        <f>IF(Инвентаризация!C264="","",Инвентаризация!M264)</f>
        <v/>
      </c>
      <c r="M264" s="10" t="str">
        <f>IF(Инвентаризация!C264="","",Инвентаризация!N264)</f>
        <v/>
      </c>
      <c r="N264" s="10" t="str">
        <f>IF(Инвентаризация!C264="","",Инвентаризация!O264)</f>
        <v/>
      </c>
      <c r="O264" s="10" t="str">
        <f>IF(Инвентаризация!C264="","",Инвентаризация!P264)</f>
        <v/>
      </c>
      <c r="P264" s="8" t="str">
        <f>IF(Инвентаризация!C264="","",Инвентаризация!Q264)</f>
        <v/>
      </c>
    </row>
    <row r="265" spans="1:16">
      <c r="A265" s="10" t="str">
        <f>IF(Инвентаризация!C265="","",Инвентаризация!B265)</f>
        <v/>
      </c>
      <c r="B265" s="10" t="str">
        <f>IF(Инвентаризация!C265="","",Инвентаризация!C265)</f>
        <v/>
      </c>
      <c r="C265" s="5" t="str">
        <f>IF(Инвентаризация!C265="","",Инвентаризация!D265)</f>
        <v/>
      </c>
      <c r="D265" s="11" t="str">
        <f>IF(Инвентаризация!C265="","",Инвентаризация!E265)</f>
        <v/>
      </c>
      <c r="E265" s="12" t="str">
        <f>IF(Инвентаризация!C265="","",Инвентаризация!F265)</f>
        <v/>
      </c>
      <c r="F265" s="12" t="str">
        <f>IF(Инвентаризация!C265="","",Инвентаризация!G265)</f>
        <v/>
      </c>
      <c r="G265" s="12" t="str">
        <f t="shared" si="20"/>
        <v/>
      </c>
      <c r="H265" s="13" t="str">
        <f t="shared" si="21"/>
        <v/>
      </c>
      <c r="I265" s="12" t="str">
        <f t="shared" si="22"/>
        <v/>
      </c>
      <c r="J265" s="12" t="str">
        <f t="shared" si="23"/>
        <v/>
      </c>
      <c r="K265" s="12" t="str">
        <f t="shared" si="24"/>
        <v/>
      </c>
      <c r="L265" s="10" t="str">
        <f>IF(Инвентаризация!C265="","",Инвентаризация!M265)</f>
        <v/>
      </c>
      <c r="M265" s="10" t="str">
        <f>IF(Инвентаризация!C265="","",Инвентаризация!N265)</f>
        <v/>
      </c>
      <c r="N265" s="10" t="str">
        <f>IF(Инвентаризация!C265="","",Инвентаризация!O265)</f>
        <v/>
      </c>
      <c r="O265" s="10" t="str">
        <f>IF(Инвентаризация!C265="","",Инвентаризация!P265)</f>
        <v/>
      </c>
      <c r="P265" s="8" t="str">
        <f>IF(Инвентаризация!C265="","",Инвентаризация!Q265)</f>
        <v/>
      </c>
    </row>
    <row r="266" spans="1:16">
      <c r="A266" s="10" t="str">
        <f>IF(Инвентаризация!C266="","",Инвентаризация!B266)</f>
        <v/>
      </c>
      <c r="B266" s="10" t="str">
        <f>IF(Инвентаризация!C266="","",Инвентаризация!C266)</f>
        <v/>
      </c>
      <c r="C266" s="5" t="str">
        <f>IF(Инвентаризация!C266="","",Инвентаризация!D266)</f>
        <v/>
      </c>
      <c r="D266" s="11" t="str">
        <f>IF(Инвентаризация!C266="","",Инвентаризация!E266)</f>
        <v/>
      </c>
      <c r="E266" s="12" t="str">
        <f>IF(Инвентаризация!C266="","",Инвентаризация!F266)</f>
        <v/>
      </c>
      <c r="F266" s="12" t="str">
        <f>IF(Инвентаризация!C266="","",Инвентаризация!G266)</f>
        <v/>
      </c>
      <c r="G266" s="12" t="str">
        <f t="shared" si="20"/>
        <v/>
      </c>
      <c r="H266" s="13" t="str">
        <f t="shared" si="21"/>
        <v/>
      </c>
      <c r="I266" s="12" t="str">
        <f t="shared" si="22"/>
        <v/>
      </c>
      <c r="J266" s="12" t="str">
        <f t="shared" si="23"/>
        <v/>
      </c>
      <c r="K266" s="12" t="str">
        <f t="shared" si="24"/>
        <v/>
      </c>
      <c r="L266" s="10" t="str">
        <f>IF(Инвентаризация!C266="","",Инвентаризация!M266)</f>
        <v/>
      </c>
      <c r="M266" s="10" t="str">
        <f>IF(Инвентаризация!C266="","",Инвентаризация!N266)</f>
        <v/>
      </c>
      <c r="N266" s="10" t="str">
        <f>IF(Инвентаризация!C266="","",Инвентаризация!O266)</f>
        <v/>
      </c>
      <c r="O266" s="10" t="str">
        <f>IF(Инвентаризация!C266="","",Инвентаризация!P266)</f>
        <v/>
      </c>
      <c r="P266" s="8" t="str">
        <f>IF(Инвентаризация!C266="","",Инвентаризация!Q266)</f>
        <v/>
      </c>
    </row>
    <row r="267" spans="1:16">
      <c r="A267" s="10" t="str">
        <f>IF(Инвентаризация!C267="","",Инвентаризация!B267)</f>
        <v/>
      </c>
      <c r="B267" s="10" t="str">
        <f>IF(Инвентаризация!C267="","",Инвентаризация!C267)</f>
        <v/>
      </c>
      <c r="C267" s="5" t="str">
        <f>IF(Инвентаризация!C267="","",Инвентаризация!D267)</f>
        <v/>
      </c>
      <c r="D267" s="11" t="str">
        <f>IF(Инвентаризация!C267="","",Инвентаризация!E267)</f>
        <v/>
      </c>
      <c r="E267" s="12" t="str">
        <f>IF(Инвентаризация!C267="","",Инвентаризация!F267)</f>
        <v/>
      </c>
      <c r="F267" s="12" t="str">
        <f>IF(Инвентаризация!C267="","",Инвентаризация!G267)</f>
        <v/>
      </c>
      <c r="G267" s="12" t="str">
        <f t="shared" si="20"/>
        <v/>
      </c>
      <c r="H267" s="13" t="str">
        <f t="shared" si="21"/>
        <v/>
      </c>
      <c r="I267" s="12" t="str">
        <f t="shared" si="22"/>
        <v/>
      </c>
      <c r="J267" s="12" t="str">
        <f t="shared" si="23"/>
        <v/>
      </c>
      <c r="K267" s="12" t="str">
        <f t="shared" si="24"/>
        <v/>
      </c>
      <c r="L267" s="10" t="str">
        <f>IF(Инвентаризация!C267="","",Инвентаризация!M267)</f>
        <v/>
      </c>
      <c r="M267" s="10" t="str">
        <f>IF(Инвентаризация!C267="","",Инвентаризация!N267)</f>
        <v/>
      </c>
      <c r="N267" s="10" t="str">
        <f>IF(Инвентаризация!C267="","",Инвентаризация!O267)</f>
        <v/>
      </c>
      <c r="O267" s="10" t="str">
        <f>IF(Инвентаризация!C267="","",Инвентаризация!P267)</f>
        <v/>
      </c>
      <c r="P267" s="8" t="str">
        <f>IF(Инвентаризация!C267="","",Инвентаризация!Q267)</f>
        <v/>
      </c>
    </row>
    <row r="268" spans="1:16">
      <c r="A268" s="10" t="str">
        <f>IF(Инвентаризация!C268="","",Инвентаризация!B268)</f>
        <v/>
      </c>
      <c r="B268" s="10" t="str">
        <f>IF(Инвентаризация!C268="","",Инвентаризация!C268)</f>
        <v/>
      </c>
      <c r="C268" s="5" t="str">
        <f>IF(Инвентаризация!C268="","",Инвентаризация!D268)</f>
        <v/>
      </c>
      <c r="D268" s="11" t="str">
        <f>IF(Инвентаризация!C268="","",Инвентаризация!E268)</f>
        <v/>
      </c>
      <c r="E268" s="12" t="str">
        <f>IF(Инвентаризация!C268="","",Инвентаризация!F268)</f>
        <v/>
      </c>
      <c r="F268" s="12" t="str">
        <f>IF(Инвентаризация!C268="","",Инвентаризация!G268)</f>
        <v/>
      </c>
      <c r="G268" s="12" t="str">
        <f t="shared" si="20"/>
        <v/>
      </c>
      <c r="H268" s="13" t="str">
        <f t="shared" si="21"/>
        <v/>
      </c>
      <c r="I268" s="12" t="str">
        <f t="shared" si="22"/>
        <v/>
      </c>
      <c r="J268" s="12" t="str">
        <f t="shared" si="23"/>
        <v/>
      </c>
      <c r="K268" s="12" t="str">
        <f t="shared" si="24"/>
        <v/>
      </c>
      <c r="L268" s="10" t="str">
        <f>IF(Инвентаризация!C268="","",Инвентаризация!M268)</f>
        <v/>
      </c>
      <c r="M268" s="10" t="str">
        <f>IF(Инвентаризация!C268="","",Инвентаризация!N268)</f>
        <v/>
      </c>
      <c r="N268" s="10" t="str">
        <f>IF(Инвентаризация!C268="","",Инвентаризация!O268)</f>
        <v/>
      </c>
      <c r="O268" s="10" t="str">
        <f>IF(Инвентаризация!C268="","",Инвентаризация!P268)</f>
        <v/>
      </c>
      <c r="P268" s="8" t="str">
        <f>IF(Инвентаризация!C268="","",Инвентаризация!Q268)</f>
        <v/>
      </c>
    </row>
    <row r="269" spans="1:16">
      <c r="A269" s="10" t="str">
        <f>IF(Инвентаризация!C269="","",Инвентаризация!B269)</f>
        <v/>
      </c>
      <c r="B269" s="10" t="str">
        <f>IF(Инвентаризация!C269="","",Инвентаризация!C269)</f>
        <v/>
      </c>
      <c r="C269" s="5" t="str">
        <f>IF(Инвентаризация!C269="","",Инвентаризация!D269)</f>
        <v/>
      </c>
      <c r="D269" s="11" t="str">
        <f>IF(Инвентаризация!C269="","",Инвентаризация!E269)</f>
        <v/>
      </c>
      <c r="E269" s="12" t="str">
        <f>IF(Инвентаризация!C269="","",Инвентаризация!F269)</f>
        <v/>
      </c>
      <c r="F269" s="12" t="str">
        <f>IF(Инвентаризация!C269="","",Инвентаризация!G269)</f>
        <v/>
      </c>
      <c r="G269" s="12" t="str">
        <f t="shared" si="20"/>
        <v/>
      </c>
      <c r="H269" s="13" t="str">
        <f t="shared" si="21"/>
        <v/>
      </c>
      <c r="I269" s="12" t="str">
        <f t="shared" si="22"/>
        <v/>
      </c>
      <c r="J269" s="12" t="str">
        <f t="shared" si="23"/>
        <v/>
      </c>
      <c r="K269" s="12" t="str">
        <f t="shared" si="24"/>
        <v/>
      </c>
      <c r="L269" s="10" t="str">
        <f>IF(Инвентаризация!C269="","",Инвентаризация!M269)</f>
        <v/>
      </c>
      <c r="M269" s="10" t="str">
        <f>IF(Инвентаризация!C269="","",Инвентаризация!N269)</f>
        <v/>
      </c>
      <c r="N269" s="10" t="str">
        <f>IF(Инвентаризация!C269="","",Инвентаризация!O269)</f>
        <v/>
      </c>
      <c r="O269" s="10" t="str">
        <f>IF(Инвентаризация!C269="","",Инвентаризация!P269)</f>
        <v/>
      </c>
      <c r="P269" s="8" t="str">
        <f>IF(Инвентаризация!C269="","",Инвентаризация!Q269)</f>
        <v/>
      </c>
    </row>
    <row r="270" spans="1:16">
      <c r="A270" s="10" t="str">
        <f>IF(Инвентаризация!C270="","",Инвентаризация!B270)</f>
        <v/>
      </c>
      <c r="B270" s="10" t="str">
        <f>IF(Инвентаризация!C270="","",Инвентаризация!C270)</f>
        <v/>
      </c>
      <c r="C270" s="5" t="str">
        <f>IF(Инвентаризация!C270="","",Инвентаризация!D270)</f>
        <v/>
      </c>
      <c r="D270" s="11" t="str">
        <f>IF(Инвентаризация!C270="","",Инвентаризация!E270)</f>
        <v/>
      </c>
      <c r="E270" s="12" t="str">
        <f>IF(Инвентаризация!C270="","",Инвентаризация!F270)</f>
        <v/>
      </c>
      <c r="F270" s="12" t="str">
        <f>IF(Инвентаризация!C270="","",Инвентаризация!G270)</f>
        <v/>
      </c>
      <c r="G270" s="12" t="str">
        <f t="shared" si="20"/>
        <v/>
      </c>
      <c r="H270" s="13" t="str">
        <f t="shared" si="21"/>
        <v/>
      </c>
      <c r="I270" s="12" t="str">
        <f t="shared" si="22"/>
        <v/>
      </c>
      <c r="J270" s="12" t="str">
        <f t="shared" si="23"/>
        <v/>
      </c>
      <c r="K270" s="12" t="str">
        <f t="shared" si="24"/>
        <v/>
      </c>
      <c r="L270" s="10" t="str">
        <f>IF(Инвентаризация!C270="","",Инвентаризация!M270)</f>
        <v/>
      </c>
      <c r="M270" s="10" t="str">
        <f>IF(Инвентаризация!C270="","",Инвентаризация!N270)</f>
        <v/>
      </c>
      <c r="N270" s="10" t="str">
        <f>IF(Инвентаризация!C270="","",Инвентаризация!O270)</f>
        <v/>
      </c>
      <c r="O270" s="10" t="str">
        <f>IF(Инвентаризация!C270="","",Инвентаризация!P270)</f>
        <v/>
      </c>
      <c r="P270" s="8" t="str">
        <f>IF(Инвентаризация!C270="","",Инвентаризация!Q270)</f>
        <v/>
      </c>
    </row>
    <row r="271" spans="1:16">
      <c r="A271" s="10" t="str">
        <f>IF(Инвентаризация!C271="","",Инвентаризация!B271)</f>
        <v/>
      </c>
      <c r="B271" s="10" t="str">
        <f>IF(Инвентаризация!C271="","",Инвентаризация!C271)</f>
        <v/>
      </c>
      <c r="C271" s="5" t="str">
        <f>IF(Инвентаризация!C271="","",Инвентаризация!D271)</f>
        <v/>
      </c>
      <c r="D271" s="11" t="str">
        <f>IF(Инвентаризация!C271="","",Инвентаризация!E271)</f>
        <v/>
      </c>
      <c r="E271" s="12" t="str">
        <f>IF(Инвентаризация!C271="","",Инвентаризация!F271)</f>
        <v/>
      </c>
      <c r="F271" s="12" t="str">
        <f>IF(Инвентаризация!C271="","",Инвентаризация!G271)</f>
        <v/>
      </c>
      <c r="G271" s="12" t="str">
        <f t="shared" si="20"/>
        <v/>
      </c>
      <c r="H271" s="13" t="str">
        <f t="shared" si="21"/>
        <v/>
      </c>
      <c r="I271" s="12" t="str">
        <f t="shared" si="22"/>
        <v/>
      </c>
      <c r="J271" s="12" t="str">
        <f t="shared" si="23"/>
        <v/>
      </c>
      <c r="K271" s="12" t="str">
        <f t="shared" si="24"/>
        <v/>
      </c>
      <c r="L271" s="10" t="str">
        <f>IF(Инвентаризация!C271="","",Инвентаризация!M271)</f>
        <v/>
      </c>
      <c r="M271" s="10" t="str">
        <f>IF(Инвентаризация!C271="","",Инвентаризация!N271)</f>
        <v/>
      </c>
      <c r="N271" s="10" t="str">
        <f>IF(Инвентаризация!C271="","",Инвентаризация!O271)</f>
        <v/>
      </c>
      <c r="O271" s="10" t="str">
        <f>IF(Инвентаризация!C271="","",Инвентаризация!P271)</f>
        <v/>
      </c>
      <c r="P271" s="8" t="str">
        <f>IF(Инвентаризация!C271="","",Инвентаризация!Q271)</f>
        <v/>
      </c>
    </row>
    <row r="272" spans="1:16">
      <c r="A272" s="10" t="str">
        <f>IF(Инвентаризация!C272="","",Инвентаризация!B272)</f>
        <v/>
      </c>
      <c r="B272" s="10" t="str">
        <f>IF(Инвентаризация!C272="","",Инвентаризация!C272)</f>
        <v/>
      </c>
      <c r="C272" s="5" t="str">
        <f>IF(Инвентаризация!C272="","",Инвентаризация!D272)</f>
        <v/>
      </c>
      <c r="D272" s="11" t="str">
        <f>IF(Инвентаризация!C272="","",Инвентаризация!E272)</f>
        <v/>
      </c>
      <c r="E272" s="12" t="str">
        <f>IF(Инвентаризация!C272="","",Инвентаризация!F272)</f>
        <v/>
      </c>
      <c r="F272" s="12" t="str">
        <f>IF(Инвентаризация!C272="","",Инвентаризация!G272)</f>
        <v/>
      </c>
      <c r="G272" s="12" t="str">
        <f t="shared" si="20"/>
        <v/>
      </c>
      <c r="H272" s="13" t="str">
        <f t="shared" si="21"/>
        <v/>
      </c>
      <c r="I272" s="12" t="str">
        <f t="shared" si="22"/>
        <v/>
      </c>
      <c r="J272" s="12" t="str">
        <f t="shared" si="23"/>
        <v/>
      </c>
      <c r="K272" s="12" t="str">
        <f t="shared" si="24"/>
        <v/>
      </c>
      <c r="L272" s="10" t="str">
        <f>IF(Инвентаризация!C272="","",Инвентаризация!M272)</f>
        <v/>
      </c>
      <c r="M272" s="10" t="str">
        <f>IF(Инвентаризация!C272="","",Инвентаризация!N272)</f>
        <v/>
      </c>
      <c r="N272" s="10" t="str">
        <f>IF(Инвентаризация!C272="","",Инвентаризация!O272)</f>
        <v/>
      </c>
      <c r="O272" s="10" t="str">
        <f>IF(Инвентаризация!C272="","",Инвентаризация!P272)</f>
        <v/>
      </c>
      <c r="P272" s="8" t="str">
        <f>IF(Инвентаризация!C272="","",Инвентаризация!Q272)</f>
        <v/>
      </c>
    </row>
    <row r="273" spans="1:16">
      <c r="A273" s="10" t="str">
        <f>IF(Инвентаризация!C273="","",Инвентаризация!B273)</f>
        <v/>
      </c>
      <c r="B273" s="10" t="str">
        <f>IF(Инвентаризация!C273="","",Инвентаризация!C273)</f>
        <v/>
      </c>
      <c r="C273" s="5" t="str">
        <f>IF(Инвентаризация!C273="","",Инвентаризация!D273)</f>
        <v/>
      </c>
      <c r="D273" s="11" t="str">
        <f>IF(Инвентаризация!C273="","",Инвентаризация!E273)</f>
        <v/>
      </c>
      <c r="E273" s="12" t="str">
        <f>IF(Инвентаризация!C273="","",Инвентаризация!F273)</f>
        <v/>
      </c>
      <c r="F273" s="12" t="str">
        <f>IF(Инвентаризация!C273="","",Инвентаризация!G273)</f>
        <v/>
      </c>
      <c r="G273" s="12" t="str">
        <f t="shared" si="20"/>
        <v/>
      </c>
      <c r="H273" s="13" t="str">
        <f t="shared" si="21"/>
        <v/>
      </c>
      <c r="I273" s="12" t="str">
        <f t="shared" si="22"/>
        <v/>
      </c>
      <c r="J273" s="12" t="str">
        <f t="shared" si="23"/>
        <v/>
      </c>
      <c r="K273" s="12" t="str">
        <f t="shared" si="24"/>
        <v/>
      </c>
      <c r="L273" s="10" t="str">
        <f>IF(Инвентаризация!C273="","",Инвентаризация!M273)</f>
        <v/>
      </c>
      <c r="M273" s="10" t="str">
        <f>IF(Инвентаризация!C273="","",Инвентаризация!N273)</f>
        <v/>
      </c>
      <c r="N273" s="10" t="str">
        <f>IF(Инвентаризация!C273="","",Инвентаризация!O273)</f>
        <v/>
      </c>
      <c r="O273" s="10" t="str">
        <f>IF(Инвентаризация!C273="","",Инвентаризация!P273)</f>
        <v/>
      </c>
      <c r="P273" s="8" t="str">
        <f>IF(Инвентаризация!C273="","",Инвентаризация!Q273)</f>
        <v/>
      </c>
    </row>
    <row r="274" spans="1:16">
      <c r="A274" s="10" t="str">
        <f>IF(Инвентаризация!C274="","",Инвентаризация!B274)</f>
        <v/>
      </c>
      <c r="B274" s="10" t="str">
        <f>IF(Инвентаризация!C274="","",Инвентаризация!C274)</f>
        <v/>
      </c>
      <c r="C274" s="5" t="str">
        <f>IF(Инвентаризация!C274="","",Инвентаризация!D274)</f>
        <v/>
      </c>
      <c r="D274" s="11" t="str">
        <f>IF(Инвентаризация!C274="","",Инвентаризация!E274)</f>
        <v/>
      </c>
      <c r="E274" s="12" t="str">
        <f>IF(Инвентаризация!C274="","",Инвентаризация!F274)</f>
        <v/>
      </c>
      <c r="F274" s="12" t="str">
        <f>IF(Инвентаризация!C274="","",Инвентаризация!G274)</f>
        <v/>
      </c>
      <c r="G274" s="12" t="str">
        <f t="shared" si="20"/>
        <v/>
      </c>
      <c r="H274" s="13" t="str">
        <f t="shared" si="21"/>
        <v/>
      </c>
      <c r="I274" s="12" t="str">
        <f t="shared" si="22"/>
        <v/>
      </c>
      <c r="J274" s="12" t="str">
        <f t="shared" si="23"/>
        <v/>
      </c>
      <c r="K274" s="12" t="str">
        <f t="shared" si="24"/>
        <v/>
      </c>
      <c r="L274" s="10" t="str">
        <f>IF(Инвентаризация!C274="","",Инвентаризация!M274)</f>
        <v/>
      </c>
      <c r="M274" s="10" t="str">
        <f>IF(Инвентаризация!C274="","",Инвентаризация!N274)</f>
        <v/>
      </c>
      <c r="N274" s="10" t="str">
        <f>IF(Инвентаризация!C274="","",Инвентаризация!O274)</f>
        <v/>
      </c>
      <c r="O274" s="10" t="str">
        <f>IF(Инвентаризация!C274="","",Инвентаризация!P274)</f>
        <v/>
      </c>
      <c r="P274" s="8" t="str">
        <f>IF(Инвентаризация!C274="","",Инвентаризация!Q274)</f>
        <v/>
      </c>
    </row>
    <row r="275" spans="1:16">
      <c r="A275" s="10" t="str">
        <f>IF(Инвентаризация!C275="","",Инвентаризация!B275)</f>
        <v/>
      </c>
      <c r="B275" s="10" t="str">
        <f>IF(Инвентаризация!C275="","",Инвентаризация!C275)</f>
        <v/>
      </c>
      <c r="C275" s="5" t="str">
        <f>IF(Инвентаризация!C275="","",Инвентаризация!D275)</f>
        <v/>
      </c>
      <c r="D275" s="11" t="str">
        <f>IF(Инвентаризация!C275="","",Инвентаризация!E275)</f>
        <v/>
      </c>
      <c r="E275" s="12" t="str">
        <f>IF(Инвентаризация!C275="","",Инвентаризация!F275)</f>
        <v/>
      </c>
      <c r="F275" s="12" t="str">
        <f>IF(Инвентаризация!C275="","",Инвентаризация!G275)</f>
        <v/>
      </c>
      <c r="G275" s="12" t="str">
        <f t="shared" si="20"/>
        <v/>
      </c>
      <c r="H275" s="13" t="str">
        <f t="shared" si="21"/>
        <v/>
      </c>
      <c r="I275" s="12" t="str">
        <f t="shared" si="22"/>
        <v/>
      </c>
      <c r="J275" s="12" t="str">
        <f t="shared" si="23"/>
        <v/>
      </c>
      <c r="K275" s="12" t="str">
        <f t="shared" si="24"/>
        <v/>
      </c>
      <c r="L275" s="10" t="str">
        <f>IF(Инвентаризация!C275="","",Инвентаризация!M275)</f>
        <v/>
      </c>
      <c r="M275" s="10" t="str">
        <f>IF(Инвентаризация!C275="","",Инвентаризация!N275)</f>
        <v/>
      </c>
      <c r="N275" s="10" t="str">
        <f>IF(Инвентаризация!C275="","",Инвентаризация!O275)</f>
        <v/>
      </c>
      <c r="O275" s="10" t="str">
        <f>IF(Инвентаризация!C275="","",Инвентаризация!P275)</f>
        <v/>
      </c>
      <c r="P275" s="8" t="str">
        <f>IF(Инвентаризация!C275="","",Инвентаризация!Q275)</f>
        <v/>
      </c>
    </row>
    <row r="276" spans="1:16">
      <c r="A276" s="10" t="str">
        <f>IF(Инвентаризация!C276="","",Инвентаризация!B276)</f>
        <v/>
      </c>
      <c r="B276" s="10" t="str">
        <f>IF(Инвентаризация!C276="","",Инвентаризация!C276)</f>
        <v/>
      </c>
      <c r="C276" s="5" t="str">
        <f>IF(Инвентаризация!C276="","",Инвентаризация!D276)</f>
        <v/>
      </c>
      <c r="D276" s="11" t="str">
        <f>IF(Инвентаризация!C276="","",Инвентаризация!E276)</f>
        <v/>
      </c>
      <c r="E276" s="12" t="str">
        <f>IF(Инвентаризация!C276="","",Инвентаризация!F276)</f>
        <v/>
      </c>
      <c r="F276" s="12" t="str">
        <f>IF(Инвентаризация!C276="","",Инвентаризация!G276)</f>
        <v/>
      </c>
      <c r="G276" s="12" t="str">
        <f t="shared" si="20"/>
        <v/>
      </c>
      <c r="H276" s="13" t="str">
        <f t="shared" si="21"/>
        <v/>
      </c>
      <c r="I276" s="12" t="str">
        <f t="shared" si="22"/>
        <v/>
      </c>
      <c r="J276" s="12" t="str">
        <f t="shared" si="23"/>
        <v/>
      </c>
      <c r="K276" s="12" t="str">
        <f t="shared" si="24"/>
        <v/>
      </c>
      <c r="L276" s="10" t="str">
        <f>IF(Инвентаризация!C276="","",Инвентаризация!M276)</f>
        <v/>
      </c>
      <c r="M276" s="10" t="str">
        <f>IF(Инвентаризация!C276="","",Инвентаризация!N276)</f>
        <v/>
      </c>
      <c r="N276" s="10" t="str">
        <f>IF(Инвентаризация!C276="","",Инвентаризация!O276)</f>
        <v/>
      </c>
      <c r="O276" s="10" t="str">
        <f>IF(Инвентаризация!C276="","",Инвентаризация!P276)</f>
        <v/>
      </c>
      <c r="P276" s="8" t="str">
        <f>IF(Инвентаризация!C276="","",Инвентаризация!Q276)</f>
        <v/>
      </c>
    </row>
    <row r="277" spans="1:16">
      <c r="A277" s="10" t="str">
        <f>IF(Инвентаризация!C277="","",Инвентаризация!B277)</f>
        <v/>
      </c>
      <c r="B277" s="10" t="str">
        <f>IF(Инвентаризация!C277="","",Инвентаризация!C277)</f>
        <v/>
      </c>
      <c r="C277" s="5" t="str">
        <f>IF(Инвентаризация!C277="","",Инвентаризация!D277)</f>
        <v/>
      </c>
      <c r="D277" s="11" t="str">
        <f>IF(Инвентаризация!C277="","",Инвентаризация!E277)</f>
        <v/>
      </c>
      <c r="E277" s="12" t="str">
        <f>IF(Инвентаризация!C277="","",Инвентаризация!F277)</f>
        <v/>
      </c>
      <c r="F277" s="12" t="str">
        <f>IF(Инвентаризация!C277="","",Инвентаризация!G277)</f>
        <v/>
      </c>
      <c r="G277" s="12" t="str">
        <f t="shared" si="20"/>
        <v/>
      </c>
      <c r="H277" s="13" t="str">
        <f t="shared" si="21"/>
        <v/>
      </c>
      <c r="I277" s="12" t="str">
        <f t="shared" si="22"/>
        <v/>
      </c>
      <c r="J277" s="12" t="str">
        <f t="shared" si="23"/>
        <v/>
      </c>
      <c r="K277" s="12" t="str">
        <f t="shared" si="24"/>
        <v/>
      </c>
      <c r="L277" s="10" t="str">
        <f>IF(Инвентаризация!C277="","",Инвентаризация!M277)</f>
        <v/>
      </c>
      <c r="M277" s="10" t="str">
        <f>IF(Инвентаризация!C277="","",Инвентаризация!N277)</f>
        <v/>
      </c>
      <c r="N277" s="10" t="str">
        <f>IF(Инвентаризация!C277="","",Инвентаризация!O277)</f>
        <v/>
      </c>
      <c r="O277" s="10" t="str">
        <f>IF(Инвентаризация!C277="","",Инвентаризация!P277)</f>
        <v/>
      </c>
      <c r="P277" s="8" t="str">
        <f>IF(Инвентаризация!C277="","",Инвентаризация!Q277)</f>
        <v/>
      </c>
    </row>
    <row r="278" spans="1:16">
      <c r="A278" s="10" t="str">
        <f>IF(Инвентаризация!C278="","",Инвентаризация!B278)</f>
        <v/>
      </c>
      <c r="B278" s="10" t="str">
        <f>IF(Инвентаризация!C278="","",Инвентаризация!C278)</f>
        <v/>
      </c>
      <c r="C278" s="5" t="str">
        <f>IF(Инвентаризация!C278="","",Инвентаризация!D278)</f>
        <v/>
      </c>
      <c r="D278" s="11" t="str">
        <f>IF(Инвентаризация!C278="","",Инвентаризация!E278)</f>
        <v/>
      </c>
      <c r="E278" s="12" t="str">
        <f>IF(Инвентаризация!C278="","",Инвентаризация!F278)</f>
        <v/>
      </c>
      <c r="F278" s="12" t="str">
        <f>IF(Инвентаризация!C278="","",Инвентаризация!G278)</f>
        <v/>
      </c>
      <c r="G278" s="12" t="str">
        <f t="shared" si="20"/>
        <v/>
      </c>
      <c r="H278" s="13" t="str">
        <f t="shared" si="21"/>
        <v/>
      </c>
      <c r="I278" s="12" t="str">
        <f t="shared" si="22"/>
        <v/>
      </c>
      <c r="J278" s="12" t="str">
        <f t="shared" si="23"/>
        <v/>
      </c>
      <c r="K278" s="12" t="str">
        <f t="shared" si="24"/>
        <v/>
      </c>
      <c r="L278" s="10" t="str">
        <f>IF(Инвентаризация!C278="","",Инвентаризация!M278)</f>
        <v/>
      </c>
      <c r="M278" s="10" t="str">
        <f>IF(Инвентаризация!C278="","",Инвентаризация!N278)</f>
        <v/>
      </c>
      <c r="N278" s="10" t="str">
        <f>IF(Инвентаризация!C278="","",Инвентаризация!O278)</f>
        <v/>
      </c>
      <c r="O278" s="10" t="str">
        <f>IF(Инвентаризация!C278="","",Инвентаризация!P278)</f>
        <v/>
      </c>
      <c r="P278" s="8" t="str">
        <f>IF(Инвентаризация!C278="","",Инвентаризация!Q278)</f>
        <v/>
      </c>
    </row>
    <row r="279" spans="1:16">
      <c r="A279" s="10" t="str">
        <f>IF(Инвентаризация!C279="","",Инвентаризация!B279)</f>
        <v/>
      </c>
      <c r="B279" s="10" t="str">
        <f>IF(Инвентаризация!C279="","",Инвентаризация!C279)</f>
        <v/>
      </c>
      <c r="C279" s="5" t="str">
        <f>IF(Инвентаризация!C279="","",Инвентаризация!D279)</f>
        <v/>
      </c>
      <c r="D279" s="11" t="str">
        <f>IF(Инвентаризация!C279="","",Инвентаризация!E279)</f>
        <v/>
      </c>
      <c r="E279" s="12" t="str">
        <f>IF(Инвентаризация!C279="","",Инвентаризация!F279)</f>
        <v/>
      </c>
      <c r="F279" s="12" t="str">
        <f>IF(Инвентаризация!C279="","",Инвентаризация!G279)</f>
        <v/>
      </c>
      <c r="G279" s="12" t="str">
        <f t="shared" si="20"/>
        <v/>
      </c>
      <c r="H279" s="13" t="str">
        <f t="shared" si="21"/>
        <v/>
      </c>
      <c r="I279" s="12" t="str">
        <f t="shared" si="22"/>
        <v/>
      </c>
      <c r="J279" s="12" t="str">
        <f t="shared" si="23"/>
        <v/>
      </c>
      <c r="K279" s="12" t="str">
        <f t="shared" si="24"/>
        <v/>
      </c>
      <c r="L279" s="10" t="str">
        <f>IF(Инвентаризация!C279="","",Инвентаризация!M279)</f>
        <v/>
      </c>
      <c r="M279" s="10" t="str">
        <f>IF(Инвентаризация!C279="","",Инвентаризация!N279)</f>
        <v/>
      </c>
      <c r="N279" s="10" t="str">
        <f>IF(Инвентаризация!C279="","",Инвентаризация!O279)</f>
        <v/>
      </c>
      <c r="O279" s="10" t="str">
        <f>IF(Инвентаризация!C279="","",Инвентаризация!P279)</f>
        <v/>
      </c>
      <c r="P279" s="8" t="str">
        <f>IF(Инвентаризация!C279="","",Инвентаризация!Q279)</f>
        <v/>
      </c>
    </row>
    <row r="280" spans="1:16">
      <c r="A280" s="10" t="str">
        <f>IF(Инвентаризация!C280="","",Инвентаризация!B280)</f>
        <v/>
      </c>
      <c r="B280" s="10" t="str">
        <f>IF(Инвентаризация!C280="","",Инвентаризация!C280)</f>
        <v/>
      </c>
      <c r="C280" s="5" t="str">
        <f>IF(Инвентаризация!C280="","",Инвентаризация!D280)</f>
        <v/>
      </c>
      <c r="D280" s="11" t="str">
        <f>IF(Инвентаризация!C280="","",Инвентаризация!E280)</f>
        <v/>
      </c>
      <c r="E280" s="12" t="str">
        <f>IF(Инвентаризация!C280="","",Инвентаризация!F280)</f>
        <v/>
      </c>
      <c r="F280" s="12" t="str">
        <f>IF(Инвентаризация!C280="","",Инвентаризация!G280)</f>
        <v/>
      </c>
      <c r="G280" s="12" t="str">
        <f t="shared" si="20"/>
        <v/>
      </c>
      <c r="H280" s="13" t="str">
        <f t="shared" si="21"/>
        <v/>
      </c>
      <c r="I280" s="12" t="str">
        <f t="shared" si="22"/>
        <v/>
      </c>
      <c r="J280" s="12" t="str">
        <f t="shared" si="23"/>
        <v/>
      </c>
      <c r="K280" s="12" t="str">
        <f t="shared" si="24"/>
        <v/>
      </c>
      <c r="L280" s="10" t="str">
        <f>IF(Инвентаризация!C280="","",Инвентаризация!M280)</f>
        <v/>
      </c>
      <c r="M280" s="10" t="str">
        <f>IF(Инвентаризация!C280="","",Инвентаризация!N280)</f>
        <v/>
      </c>
      <c r="N280" s="10" t="str">
        <f>IF(Инвентаризация!C280="","",Инвентаризация!O280)</f>
        <v/>
      </c>
      <c r="O280" s="10" t="str">
        <f>IF(Инвентаризация!C280="","",Инвентаризация!P280)</f>
        <v/>
      </c>
      <c r="P280" s="8" t="str">
        <f>IF(Инвентаризация!C280="","",Инвентаризация!Q280)</f>
        <v/>
      </c>
    </row>
    <row r="281" spans="1:16">
      <c r="A281" s="10" t="str">
        <f>IF(Инвентаризация!C281="","",Инвентаризация!B281)</f>
        <v/>
      </c>
      <c r="B281" s="10" t="str">
        <f>IF(Инвентаризация!C281="","",Инвентаризация!C281)</f>
        <v/>
      </c>
      <c r="C281" s="5" t="str">
        <f>IF(Инвентаризация!C281="","",Инвентаризация!D281)</f>
        <v/>
      </c>
      <c r="D281" s="11" t="str">
        <f>IF(Инвентаризация!C281="","",Инвентаризация!E281)</f>
        <v/>
      </c>
      <c r="E281" s="12" t="str">
        <f>IF(Инвентаризация!C281="","",Инвентаризация!F281)</f>
        <v/>
      </c>
      <c r="F281" s="12" t="str">
        <f>IF(Инвентаризация!C281="","",Инвентаризация!G281)</f>
        <v/>
      </c>
      <c r="G281" s="12" t="str">
        <f t="shared" si="20"/>
        <v/>
      </c>
      <c r="H281" s="13" t="str">
        <f t="shared" si="21"/>
        <v/>
      </c>
      <c r="I281" s="12" t="str">
        <f t="shared" si="22"/>
        <v/>
      </c>
      <c r="J281" s="12" t="str">
        <f t="shared" si="23"/>
        <v/>
      </c>
      <c r="K281" s="12" t="str">
        <f t="shared" si="24"/>
        <v/>
      </c>
      <c r="L281" s="10" t="str">
        <f>IF(Инвентаризация!C281="","",Инвентаризация!M281)</f>
        <v/>
      </c>
      <c r="M281" s="10" t="str">
        <f>IF(Инвентаризация!C281="","",Инвентаризация!N281)</f>
        <v/>
      </c>
      <c r="N281" s="10" t="str">
        <f>IF(Инвентаризация!C281="","",Инвентаризация!O281)</f>
        <v/>
      </c>
      <c r="O281" s="10" t="str">
        <f>IF(Инвентаризация!C281="","",Инвентаризация!P281)</f>
        <v/>
      </c>
      <c r="P281" s="8" t="str">
        <f>IF(Инвентаризация!C281="","",Инвентаризация!Q281)</f>
        <v/>
      </c>
    </row>
    <row r="282" spans="1:16">
      <c r="A282" s="10" t="str">
        <f>IF(Инвентаризация!C282="","",Инвентаризация!B282)</f>
        <v/>
      </c>
      <c r="B282" s="10" t="str">
        <f>IF(Инвентаризация!C282="","",Инвентаризация!C282)</f>
        <v/>
      </c>
      <c r="C282" s="5" t="str">
        <f>IF(Инвентаризация!C282="","",Инвентаризация!D282)</f>
        <v/>
      </c>
      <c r="D282" s="11" t="str">
        <f>IF(Инвентаризация!C282="","",Инвентаризация!E282)</f>
        <v/>
      </c>
      <c r="E282" s="12" t="str">
        <f>IF(Инвентаризация!C282="","",Инвентаризация!F282)</f>
        <v/>
      </c>
      <c r="F282" s="12" t="str">
        <f>IF(Инвентаризация!C282="","",Инвентаризация!G282)</f>
        <v/>
      </c>
      <c r="G282" s="12" t="str">
        <f t="shared" si="20"/>
        <v/>
      </c>
      <c r="H282" s="13" t="str">
        <f t="shared" si="21"/>
        <v/>
      </c>
      <c r="I282" s="12" t="str">
        <f t="shared" si="22"/>
        <v/>
      </c>
      <c r="J282" s="12" t="str">
        <f t="shared" si="23"/>
        <v/>
      </c>
      <c r="K282" s="12" t="str">
        <f t="shared" si="24"/>
        <v/>
      </c>
      <c r="L282" s="10" t="str">
        <f>IF(Инвентаризация!C282="","",Инвентаризация!M282)</f>
        <v/>
      </c>
      <c r="M282" s="10" t="str">
        <f>IF(Инвентаризация!C282="","",Инвентаризация!N282)</f>
        <v/>
      </c>
      <c r="N282" s="10" t="str">
        <f>IF(Инвентаризация!C282="","",Инвентаризация!O282)</f>
        <v/>
      </c>
      <c r="O282" s="10" t="str">
        <f>IF(Инвентаризация!C282="","",Инвентаризация!P282)</f>
        <v/>
      </c>
      <c r="P282" s="8" t="str">
        <f>IF(Инвентаризация!C282="","",Инвентаризация!Q282)</f>
        <v/>
      </c>
    </row>
    <row r="283" spans="1:16">
      <c r="A283" s="10" t="str">
        <f>IF(Инвентаризация!C283="","",Инвентаризация!B283)</f>
        <v/>
      </c>
      <c r="B283" s="10" t="str">
        <f>IF(Инвентаризация!C283="","",Инвентаризация!C283)</f>
        <v/>
      </c>
      <c r="C283" s="5" t="str">
        <f>IF(Инвентаризация!C283="","",Инвентаризация!D283)</f>
        <v/>
      </c>
      <c r="D283" s="11" t="str">
        <f>IF(Инвентаризация!C283="","",Инвентаризация!E283)</f>
        <v/>
      </c>
      <c r="E283" s="12" t="str">
        <f>IF(Инвентаризация!C283="","",Инвентаризация!F283)</f>
        <v/>
      </c>
      <c r="F283" s="12" t="str">
        <f>IF(Инвентаризация!C283="","",Инвентаризация!G283)</f>
        <v/>
      </c>
      <c r="G283" s="12" t="str">
        <f t="shared" si="20"/>
        <v/>
      </c>
      <c r="H283" s="13" t="str">
        <f t="shared" si="21"/>
        <v/>
      </c>
      <c r="I283" s="12" t="str">
        <f t="shared" si="22"/>
        <v/>
      </c>
      <c r="J283" s="12" t="str">
        <f t="shared" si="23"/>
        <v/>
      </c>
      <c r="K283" s="12" t="str">
        <f t="shared" si="24"/>
        <v/>
      </c>
      <c r="L283" s="10" t="str">
        <f>IF(Инвентаризация!C283="","",Инвентаризация!M283)</f>
        <v/>
      </c>
      <c r="M283" s="10" t="str">
        <f>IF(Инвентаризация!C283="","",Инвентаризация!N283)</f>
        <v/>
      </c>
      <c r="N283" s="10" t="str">
        <f>IF(Инвентаризация!C283="","",Инвентаризация!O283)</f>
        <v/>
      </c>
      <c r="O283" s="10" t="str">
        <f>IF(Инвентаризация!C283="","",Инвентаризация!P283)</f>
        <v/>
      </c>
      <c r="P283" s="8" t="str">
        <f>IF(Инвентаризация!C283="","",Инвентаризация!Q283)</f>
        <v/>
      </c>
    </row>
    <row r="284" spans="1:16">
      <c r="A284" s="10" t="str">
        <f>IF(Инвентаризация!C284="","",Инвентаризация!B284)</f>
        <v/>
      </c>
      <c r="B284" s="10" t="str">
        <f>IF(Инвентаризация!C284="","",Инвентаризация!C284)</f>
        <v/>
      </c>
      <c r="C284" s="5" t="str">
        <f>IF(Инвентаризация!C284="","",Инвентаризация!D284)</f>
        <v/>
      </c>
      <c r="D284" s="11" t="str">
        <f>IF(Инвентаризация!C284="","",Инвентаризация!E284)</f>
        <v/>
      </c>
      <c r="E284" s="12" t="str">
        <f>IF(Инвентаризация!C284="","",Инвентаризация!F284)</f>
        <v/>
      </c>
      <c r="F284" s="12" t="str">
        <f>IF(Инвентаризация!C284="","",Инвентаризация!G284)</f>
        <v/>
      </c>
      <c r="G284" s="12" t="str">
        <f t="shared" si="20"/>
        <v/>
      </c>
      <c r="H284" s="13" t="str">
        <f t="shared" si="21"/>
        <v/>
      </c>
      <c r="I284" s="12" t="str">
        <f t="shared" si="22"/>
        <v/>
      </c>
      <c r="J284" s="12" t="str">
        <f t="shared" si="23"/>
        <v/>
      </c>
      <c r="K284" s="12" t="str">
        <f t="shared" si="24"/>
        <v/>
      </c>
      <c r="L284" s="10" t="str">
        <f>IF(Инвентаризация!C284="","",Инвентаризация!M284)</f>
        <v/>
      </c>
      <c r="M284" s="10" t="str">
        <f>IF(Инвентаризация!C284="","",Инвентаризация!N284)</f>
        <v/>
      </c>
      <c r="N284" s="10" t="str">
        <f>IF(Инвентаризация!C284="","",Инвентаризация!O284)</f>
        <v/>
      </c>
      <c r="O284" s="10" t="str">
        <f>IF(Инвентаризация!C284="","",Инвентаризация!P284)</f>
        <v/>
      </c>
      <c r="P284" s="8" t="str">
        <f>IF(Инвентаризация!C284="","",Инвентаризация!Q284)</f>
        <v/>
      </c>
    </row>
    <row r="285" spans="1:16">
      <c r="A285" s="10" t="str">
        <f>IF(Инвентаризация!C285="","",Инвентаризация!B285)</f>
        <v/>
      </c>
      <c r="B285" s="10" t="str">
        <f>IF(Инвентаризация!C285="","",Инвентаризация!C285)</f>
        <v/>
      </c>
      <c r="C285" s="5" t="str">
        <f>IF(Инвентаризация!C285="","",Инвентаризация!D285)</f>
        <v/>
      </c>
      <c r="D285" s="11" t="str">
        <f>IF(Инвентаризация!C285="","",Инвентаризация!E285)</f>
        <v/>
      </c>
      <c r="E285" s="12" t="str">
        <f>IF(Инвентаризация!C285="","",Инвентаризация!F285)</f>
        <v/>
      </c>
      <c r="F285" s="12" t="str">
        <f>IF(Инвентаризация!C285="","",Инвентаризация!G285)</f>
        <v/>
      </c>
      <c r="G285" s="12" t="str">
        <f t="shared" si="20"/>
        <v/>
      </c>
      <c r="H285" s="13" t="str">
        <f t="shared" si="21"/>
        <v/>
      </c>
      <c r="I285" s="12" t="str">
        <f t="shared" si="22"/>
        <v/>
      </c>
      <c r="J285" s="12" t="str">
        <f t="shared" si="23"/>
        <v/>
      </c>
      <c r="K285" s="12" t="str">
        <f t="shared" si="24"/>
        <v/>
      </c>
      <c r="L285" s="10" t="str">
        <f>IF(Инвентаризация!C285="","",Инвентаризация!M285)</f>
        <v/>
      </c>
      <c r="M285" s="10" t="str">
        <f>IF(Инвентаризация!C285="","",Инвентаризация!N285)</f>
        <v/>
      </c>
      <c r="N285" s="10" t="str">
        <f>IF(Инвентаризация!C285="","",Инвентаризация!O285)</f>
        <v/>
      </c>
      <c r="O285" s="10" t="str">
        <f>IF(Инвентаризация!C285="","",Инвентаризация!P285)</f>
        <v/>
      </c>
      <c r="P285" s="8" t="str">
        <f>IF(Инвентаризация!C285="","",Инвентаризация!Q285)</f>
        <v/>
      </c>
    </row>
    <row r="286" spans="1:16">
      <c r="A286" s="10" t="str">
        <f>IF(Инвентаризация!C286="","",Инвентаризация!B286)</f>
        <v/>
      </c>
      <c r="B286" s="10" t="str">
        <f>IF(Инвентаризация!C286="","",Инвентаризация!C286)</f>
        <v/>
      </c>
      <c r="C286" s="5" t="str">
        <f>IF(Инвентаризация!C286="","",Инвентаризация!D286)</f>
        <v/>
      </c>
      <c r="D286" s="11" t="str">
        <f>IF(Инвентаризация!C286="","",Инвентаризация!E286)</f>
        <v/>
      </c>
      <c r="E286" s="12" t="str">
        <f>IF(Инвентаризация!C286="","",Инвентаризация!F286)</f>
        <v/>
      </c>
      <c r="F286" s="12" t="str">
        <f>IF(Инвентаризация!C286="","",Инвентаризация!G286)</f>
        <v/>
      </c>
      <c r="G286" s="12" t="str">
        <f t="shared" si="20"/>
        <v/>
      </c>
      <c r="H286" s="13" t="str">
        <f t="shared" si="21"/>
        <v/>
      </c>
      <c r="I286" s="12" t="str">
        <f t="shared" si="22"/>
        <v/>
      </c>
      <c r="J286" s="12" t="str">
        <f t="shared" si="23"/>
        <v/>
      </c>
      <c r="K286" s="12" t="str">
        <f t="shared" si="24"/>
        <v/>
      </c>
      <c r="L286" s="10" t="str">
        <f>IF(Инвентаризация!C286="","",Инвентаризация!M286)</f>
        <v/>
      </c>
      <c r="M286" s="10" t="str">
        <f>IF(Инвентаризация!C286="","",Инвентаризация!N286)</f>
        <v/>
      </c>
      <c r="N286" s="10" t="str">
        <f>IF(Инвентаризация!C286="","",Инвентаризация!O286)</f>
        <v/>
      </c>
      <c r="O286" s="10" t="str">
        <f>IF(Инвентаризация!C286="","",Инвентаризация!P286)</f>
        <v/>
      </c>
      <c r="P286" s="8" t="str">
        <f>IF(Инвентаризация!C286="","",Инвентаризация!Q286)</f>
        <v/>
      </c>
    </row>
    <row r="287" spans="1:16">
      <c r="A287" s="10" t="str">
        <f>IF(Инвентаризация!C287="","",Инвентаризация!B287)</f>
        <v/>
      </c>
      <c r="B287" s="10" t="str">
        <f>IF(Инвентаризация!C287="","",Инвентаризация!C287)</f>
        <v/>
      </c>
      <c r="C287" s="5" t="str">
        <f>IF(Инвентаризация!C287="","",Инвентаризация!D287)</f>
        <v/>
      </c>
      <c r="D287" s="11" t="str">
        <f>IF(Инвентаризация!C287="","",Инвентаризация!E287)</f>
        <v/>
      </c>
      <c r="E287" s="12" t="str">
        <f>IF(Инвентаризация!C287="","",Инвентаризация!F287)</f>
        <v/>
      </c>
      <c r="F287" s="12" t="str">
        <f>IF(Инвентаризация!C287="","",Инвентаризация!G287)</f>
        <v/>
      </c>
      <c r="G287" s="12" t="str">
        <f t="shared" si="20"/>
        <v/>
      </c>
      <c r="H287" s="13" t="str">
        <f t="shared" si="21"/>
        <v/>
      </c>
      <c r="I287" s="12" t="str">
        <f t="shared" si="22"/>
        <v/>
      </c>
      <c r="J287" s="12" t="str">
        <f t="shared" si="23"/>
        <v/>
      </c>
      <c r="K287" s="12" t="str">
        <f t="shared" si="24"/>
        <v/>
      </c>
      <c r="L287" s="10" t="str">
        <f>IF(Инвентаризация!C287="","",Инвентаризация!M287)</f>
        <v/>
      </c>
      <c r="M287" s="10" t="str">
        <f>IF(Инвентаризация!C287="","",Инвентаризация!N287)</f>
        <v/>
      </c>
      <c r="N287" s="10" t="str">
        <f>IF(Инвентаризация!C287="","",Инвентаризация!O287)</f>
        <v/>
      </c>
      <c r="O287" s="10" t="str">
        <f>IF(Инвентаризация!C287="","",Инвентаризация!P287)</f>
        <v/>
      </c>
      <c r="P287" s="8" t="str">
        <f>IF(Инвентаризация!C287="","",Инвентаризация!Q287)</f>
        <v/>
      </c>
    </row>
    <row r="288" spans="1:16">
      <c r="A288" s="10" t="str">
        <f>IF(Инвентаризация!C288="","",Инвентаризация!B288)</f>
        <v/>
      </c>
      <c r="B288" s="10" t="str">
        <f>IF(Инвентаризация!C288="","",Инвентаризация!C288)</f>
        <v/>
      </c>
      <c r="C288" s="5" t="str">
        <f>IF(Инвентаризация!C288="","",Инвентаризация!D288)</f>
        <v/>
      </c>
      <c r="D288" s="11" t="str">
        <f>IF(Инвентаризация!C288="","",Инвентаризация!E288)</f>
        <v/>
      </c>
      <c r="E288" s="12" t="str">
        <f>IF(Инвентаризация!C288="","",Инвентаризация!F288)</f>
        <v/>
      </c>
      <c r="F288" s="12" t="str">
        <f>IF(Инвентаризация!C288="","",Инвентаризация!G288)</f>
        <v/>
      </c>
      <c r="G288" s="12" t="str">
        <f t="shared" si="20"/>
        <v/>
      </c>
      <c r="H288" s="13" t="str">
        <f t="shared" si="21"/>
        <v/>
      </c>
      <c r="I288" s="12" t="str">
        <f t="shared" si="22"/>
        <v/>
      </c>
      <c r="J288" s="12" t="str">
        <f t="shared" si="23"/>
        <v/>
      </c>
      <c r="K288" s="12" t="str">
        <f t="shared" si="24"/>
        <v/>
      </c>
      <c r="L288" s="10" t="str">
        <f>IF(Инвентаризация!C288="","",Инвентаризация!M288)</f>
        <v/>
      </c>
      <c r="M288" s="10" t="str">
        <f>IF(Инвентаризация!C288="","",Инвентаризация!N288)</f>
        <v/>
      </c>
      <c r="N288" s="10" t="str">
        <f>IF(Инвентаризация!C288="","",Инвентаризация!O288)</f>
        <v/>
      </c>
      <c r="O288" s="10" t="str">
        <f>IF(Инвентаризация!C288="","",Инвентаризация!P288)</f>
        <v/>
      </c>
      <c r="P288" s="8" t="str">
        <f>IF(Инвентаризация!C288="","",Инвентаризация!Q288)</f>
        <v/>
      </c>
    </row>
    <row r="289" spans="1:16">
      <c r="A289" s="10" t="str">
        <f>IF(Инвентаризация!C289="","",Инвентаризация!B289)</f>
        <v/>
      </c>
      <c r="B289" s="10" t="str">
        <f>IF(Инвентаризация!C289="","",Инвентаризация!C289)</f>
        <v/>
      </c>
      <c r="C289" s="5" t="str">
        <f>IF(Инвентаризация!C289="","",Инвентаризация!D289)</f>
        <v/>
      </c>
      <c r="D289" s="11" t="str">
        <f>IF(Инвентаризация!C289="","",Инвентаризация!E289)</f>
        <v/>
      </c>
      <c r="E289" s="12" t="str">
        <f>IF(Инвентаризация!C289="","",Инвентаризация!F289)</f>
        <v/>
      </c>
      <c r="F289" s="12" t="str">
        <f>IF(Инвентаризация!C289="","",Инвентаризация!G289)</f>
        <v/>
      </c>
      <c r="G289" s="12" t="str">
        <f t="shared" si="20"/>
        <v/>
      </c>
      <c r="H289" s="13" t="str">
        <f t="shared" si="21"/>
        <v/>
      </c>
      <c r="I289" s="12" t="str">
        <f t="shared" si="22"/>
        <v/>
      </c>
      <c r="J289" s="12" t="str">
        <f t="shared" si="23"/>
        <v/>
      </c>
      <c r="K289" s="12" t="str">
        <f t="shared" si="24"/>
        <v/>
      </c>
      <c r="L289" s="10" t="str">
        <f>IF(Инвентаризация!C289="","",Инвентаризация!M289)</f>
        <v/>
      </c>
      <c r="M289" s="10" t="str">
        <f>IF(Инвентаризация!C289="","",Инвентаризация!N289)</f>
        <v/>
      </c>
      <c r="N289" s="10" t="str">
        <f>IF(Инвентаризация!C289="","",Инвентаризация!O289)</f>
        <v/>
      </c>
      <c r="O289" s="10" t="str">
        <f>IF(Инвентаризация!C289="","",Инвентаризация!P289)</f>
        <v/>
      </c>
      <c r="P289" s="8" t="str">
        <f>IF(Инвентаризация!C289="","",Инвентаризация!Q289)</f>
        <v/>
      </c>
    </row>
    <row r="290" spans="1:16">
      <c r="A290" s="10" t="str">
        <f>IF(Инвентаризация!C290="","",Инвентаризация!B290)</f>
        <v/>
      </c>
      <c r="B290" s="10" t="str">
        <f>IF(Инвентаризация!C290="","",Инвентаризация!C290)</f>
        <v/>
      </c>
      <c r="C290" s="5" t="str">
        <f>IF(Инвентаризация!C290="","",Инвентаризация!D290)</f>
        <v/>
      </c>
      <c r="D290" s="11" t="str">
        <f>IF(Инвентаризация!C290="","",Инвентаризация!E290)</f>
        <v/>
      </c>
      <c r="E290" s="12" t="str">
        <f>IF(Инвентаризация!C290="","",Инвентаризация!F290)</f>
        <v/>
      </c>
      <c r="F290" s="12" t="str">
        <f>IF(Инвентаризация!C290="","",Инвентаризация!G290)</f>
        <v/>
      </c>
      <c r="G290" s="12" t="str">
        <f t="shared" si="20"/>
        <v/>
      </c>
      <c r="H290" s="13" t="str">
        <f t="shared" si="21"/>
        <v/>
      </c>
      <c r="I290" s="12" t="str">
        <f t="shared" si="22"/>
        <v/>
      </c>
      <c r="J290" s="12" t="str">
        <f t="shared" si="23"/>
        <v/>
      </c>
      <c r="K290" s="12" t="str">
        <f t="shared" si="24"/>
        <v/>
      </c>
      <c r="L290" s="10" t="str">
        <f>IF(Инвентаризация!C290="","",Инвентаризация!M290)</f>
        <v/>
      </c>
      <c r="M290" s="10" t="str">
        <f>IF(Инвентаризация!C290="","",Инвентаризация!N290)</f>
        <v/>
      </c>
      <c r="N290" s="10" t="str">
        <f>IF(Инвентаризация!C290="","",Инвентаризация!O290)</f>
        <v/>
      </c>
      <c r="O290" s="10" t="str">
        <f>IF(Инвентаризация!C290="","",Инвентаризация!P290)</f>
        <v/>
      </c>
      <c r="P290" s="8" t="str">
        <f>IF(Инвентаризация!C290="","",Инвентаризация!Q290)</f>
        <v/>
      </c>
    </row>
    <row r="291" spans="1:16">
      <c r="A291" s="10" t="str">
        <f>IF(Инвентаризация!C291="","",Инвентаризация!B291)</f>
        <v/>
      </c>
      <c r="B291" s="10" t="str">
        <f>IF(Инвентаризация!C291="","",Инвентаризация!C291)</f>
        <v/>
      </c>
      <c r="C291" s="5" t="str">
        <f>IF(Инвентаризация!C291="","",Инвентаризация!D291)</f>
        <v/>
      </c>
      <c r="D291" s="11" t="str">
        <f>IF(Инвентаризация!C291="","",Инвентаризация!E291)</f>
        <v/>
      </c>
      <c r="E291" s="12" t="str">
        <f>IF(Инвентаризация!C291="","",Инвентаризация!F291)</f>
        <v/>
      </c>
      <c r="F291" s="12" t="str">
        <f>IF(Инвентаризация!C291="","",Инвентаризация!G291)</f>
        <v/>
      </c>
      <c r="G291" s="12" t="str">
        <f t="shared" si="20"/>
        <v/>
      </c>
      <c r="H291" s="13" t="str">
        <f t="shared" si="21"/>
        <v/>
      </c>
      <c r="I291" s="12" t="str">
        <f t="shared" si="22"/>
        <v/>
      </c>
      <c r="J291" s="12" t="str">
        <f t="shared" si="23"/>
        <v/>
      </c>
      <c r="K291" s="12" t="str">
        <f t="shared" si="24"/>
        <v/>
      </c>
      <c r="L291" s="10" t="str">
        <f>IF(Инвентаризация!C291="","",Инвентаризация!M291)</f>
        <v/>
      </c>
      <c r="M291" s="10" t="str">
        <f>IF(Инвентаризация!C291="","",Инвентаризация!N291)</f>
        <v/>
      </c>
      <c r="N291" s="10" t="str">
        <f>IF(Инвентаризация!C291="","",Инвентаризация!O291)</f>
        <v/>
      </c>
      <c r="O291" s="10" t="str">
        <f>IF(Инвентаризация!C291="","",Инвентаризация!P291)</f>
        <v/>
      </c>
      <c r="P291" s="8" t="str">
        <f>IF(Инвентаризация!C291="","",Инвентаризация!Q291)</f>
        <v/>
      </c>
    </row>
    <row r="292" spans="1:16">
      <c r="A292" s="10" t="str">
        <f>IF(Инвентаризация!C292="","",Инвентаризация!B292)</f>
        <v/>
      </c>
      <c r="B292" s="10" t="str">
        <f>IF(Инвентаризация!C292="","",Инвентаризация!C292)</f>
        <v/>
      </c>
      <c r="C292" s="5" t="str">
        <f>IF(Инвентаризация!C292="","",Инвентаризация!D292)</f>
        <v/>
      </c>
      <c r="D292" s="11" t="str">
        <f>IF(Инвентаризация!C292="","",Инвентаризация!E292)</f>
        <v/>
      </c>
      <c r="E292" s="12" t="str">
        <f>IF(Инвентаризация!C292="","",Инвентаризация!F292)</f>
        <v/>
      </c>
      <c r="F292" s="12" t="str">
        <f>IF(Инвентаризация!C292="","",Инвентаризация!G292)</f>
        <v/>
      </c>
      <c r="G292" s="12" t="str">
        <f t="shared" si="20"/>
        <v/>
      </c>
      <c r="H292" s="13" t="str">
        <f t="shared" si="21"/>
        <v/>
      </c>
      <c r="I292" s="12" t="str">
        <f t="shared" si="22"/>
        <v/>
      </c>
      <c r="J292" s="12" t="str">
        <f t="shared" si="23"/>
        <v/>
      </c>
      <c r="K292" s="12" t="str">
        <f t="shared" si="24"/>
        <v/>
      </c>
      <c r="L292" s="10" t="str">
        <f>IF(Инвентаризация!C292="","",Инвентаризация!M292)</f>
        <v/>
      </c>
      <c r="M292" s="10" t="str">
        <f>IF(Инвентаризация!C292="","",Инвентаризация!N292)</f>
        <v/>
      </c>
      <c r="N292" s="10" t="str">
        <f>IF(Инвентаризация!C292="","",Инвентаризация!O292)</f>
        <v/>
      </c>
      <c r="O292" s="10" t="str">
        <f>IF(Инвентаризация!C292="","",Инвентаризация!P292)</f>
        <v/>
      </c>
      <c r="P292" s="8" t="str">
        <f>IF(Инвентаризация!C292="","",Инвентаризация!Q292)</f>
        <v/>
      </c>
    </row>
    <row r="293" spans="1:16">
      <c r="A293" s="10" t="str">
        <f>IF(Инвентаризация!C293="","",Инвентаризация!B293)</f>
        <v/>
      </c>
      <c r="B293" s="10" t="str">
        <f>IF(Инвентаризация!C293="","",Инвентаризация!C293)</f>
        <v/>
      </c>
      <c r="C293" s="5" t="str">
        <f>IF(Инвентаризация!C293="","",Инвентаризация!D293)</f>
        <v/>
      </c>
      <c r="D293" s="11" t="str">
        <f>IF(Инвентаризация!C293="","",Инвентаризация!E293)</f>
        <v/>
      </c>
      <c r="E293" s="12" t="str">
        <f>IF(Инвентаризация!C293="","",Инвентаризация!F293)</f>
        <v/>
      </c>
      <c r="F293" s="12" t="str">
        <f>IF(Инвентаризация!C293="","",Инвентаризация!G293)</f>
        <v/>
      </c>
      <c r="G293" s="12" t="str">
        <f t="shared" si="20"/>
        <v/>
      </c>
      <c r="H293" s="13" t="str">
        <f t="shared" si="21"/>
        <v/>
      </c>
      <c r="I293" s="12" t="str">
        <f t="shared" si="22"/>
        <v/>
      </c>
      <c r="J293" s="12" t="str">
        <f t="shared" si="23"/>
        <v/>
      </c>
      <c r="K293" s="12" t="str">
        <f t="shared" si="24"/>
        <v/>
      </c>
      <c r="L293" s="10" t="str">
        <f>IF(Инвентаризация!C293="","",Инвентаризация!M293)</f>
        <v/>
      </c>
      <c r="M293" s="10" t="str">
        <f>IF(Инвентаризация!C293="","",Инвентаризация!N293)</f>
        <v/>
      </c>
      <c r="N293" s="10" t="str">
        <f>IF(Инвентаризация!C293="","",Инвентаризация!O293)</f>
        <v/>
      </c>
      <c r="O293" s="10" t="str">
        <f>IF(Инвентаризация!C293="","",Инвентаризация!P293)</f>
        <v/>
      </c>
      <c r="P293" s="8" t="str">
        <f>IF(Инвентаризация!C293="","",Инвентаризация!Q293)</f>
        <v/>
      </c>
    </row>
    <row r="294" spans="1:16">
      <c r="A294" s="10" t="str">
        <f>IF(Инвентаризация!C294="","",Инвентаризация!B294)</f>
        <v/>
      </c>
      <c r="B294" s="10" t="str">
        <f>IF(Инвентаризация!C294="","",Инвентаризация!C294)</f>
        <v/>
      </c>
      <c r="C294" s="5" t="str">
        <f>IF(Инвентаризация!C294="","",Инвентаризация!D294)</f>
        <v/>
      </c>
      <c r="D294" s="11" t="str">
        <f>IF(Инвентаризация!C294="","",Инвентаризация!E294)</f>
        <v/>
      </c>
      <c r="E294" s="12" t="str">
        <f>IF(Инвентаризация!C294="","",Инвентаризация!F294)</f>
        <v/>
      </c>
      <c r="F294" s="12" t="str">
        <f>IF(Инвентаризация!C294="","",Инвентаризация!G294)</f>
        <v/>
      </c>
      <c r="G294" s="12" t="str">
        <f t="shared" si="20"/>
        <v/>
      </c>
      <c r="H294" s="13" t="str">
        <f t="shared" si="21"/>
        <v/>
      </c>
      <c r="I294" s="12" t="str">
        <f t="shared" si="22"/>
        <v/>
      </c>
      <c r="J294" s="12" t="str">
        <f t="shared" si="23"/>
        <v/>
      </c>
      <c r="K294" s="12" t="str">
        <f t="shared" si="24"/>
        <v/>
      </c>
      <c r="L294" s="10" t="str">
        <f>IF(Инвентаризация!C294="","",Инвентаризация!M294)</f>
        <v/>
      </c>
      <c r="M294" s="10" t="str">
        <f>IF(Инвентаризация!C294="","",Инвентаризация!N294)</f>
        <v/>
      </c>
      <c r="N294" s="10" t="str">
        <f>IF(Инвентаризация!C294="","",Инвентаризация!O294)</f>
        <v/>
      </c>
      <c r="O294" s="10" t="str">
        <f>IF(Инвентаризация!C294="","",Инвентаризация!P294)</f>
        <v/>
      </c>
      <c r="P294" s="8" t="str">
        <f>IF(Инвентаризация!C294="","",Инвентаризация!Q294)</f>
        <v/>
      </c>
    </row>
    <row r="295" spans="1:16">
      <c r="A295" s="10" t="str">
        <f>IF(Инвентаризация!C295="","",Инвентаризация!B295)</f>
        <v/>
      </c>
      <c r="B295" s="10" t="str">
        <f>IF(Инвентаризация!C295="","",Инвентаризация!C295)</f>
        <v/>
      </c>
      <c r="C295" s="5" t="str">
        <f>IF(Инвентаризация!C295="","",Инвентаризация!D295)</f>
        <v/>
      </c>
      <c r="D295" s="11" t="str">
        <f>IF(Инвентаризация!C295="","",Инвентаризация!E295)</f>
        <v/>
      </c>
      <c r="E295" s="12" t="str">
        <f>IF(Инвентаризация!C295="","",Инвентаризация!F295)</f>
        <v/>
      </c>
      <c r="F295" s="12" t="str">
        <f>IF(Инвентаризация!C295="","",Инвентаризация!G295)</f>
        <v/>
      </c>
      <c r="G295" s="12" t="str">
        <f t="shared" si="20"/>
        <v/>
      </c>
      <c r="H295" s="13" t="str">
        <f t="shared" si="21"/>
        <v/>
      </c>
      <c r="I295" s="12" t="str">
        <f t="shared" si="22"/>
        <v/>
      </c>
      <c r="J295" s="12" t="str">
        <f t="shared" si="23"/>
        <v/>
      </c>
      <c r="K295" s="12" t="str">
        <f t="shared" si="24"/>
        <v/>
      </c>
      <c r="L295" s="10" t="str">
        <f>IF(Инвентаризация!C295="","",Инвентаризация!M295)</f>
        <v/>
      </c>
      <c r="M295" s="10" t="str">
        <f>IF(Инвентаризация!C295="","",Инвентаризация!N295)</f>
        <v/>
      </c>
      <c r="N295" s="10" t="str">
        <f>IF(Инвентаризация!C295="","",Инвентаризация!O295)</f>
        <v/>
      </c>
      <c r="O295" s="10" t="str">
        <f>IF(Инвентаризация!C295="","",Инвентаризация!P295)</f>
        <v/>
      </c>
      <c r="P295" s="8" t="str">
        <f>IF(Инвентаризация!C295="","",Инвентаризация!Q295)</f>
        <v/>
      </c>
    </row>
    <row r="296" spans="1:16">
      <c r="A296" s="10" t="str">
        <f>IF(Инвентаризация!C296="","",Инвентаризация!B296)</f>
        <v/>
      </c>
      <c r="B296" s="10" t="str">
        <f>IF(Инвентаризация!C296="","",Инвентаризация!C296)</f>
        <v/>
      </c>
      <c r="C296" s="5" t="str">
        <f>IF(Инвентаризация!C296="","",Инвентаризация!D296)</f>
        <v/>
      </c>
      <c r="D296" s="11" t="str">
        <f>IF(Инвентаризация!C296="","",Инвентаризация!E296)</f>
        <v/>
      </c>
      <c r="E296" s="12" t="str">
        <f>IF(Инвентаризация!C296="","",Инвентаризация!F296)</f>
        <v/>
      </c>
      <c r="F296" s="12" t="str">
        <f>IF(Инвентаризация!C296="","",Инвентаризация!G296)</f>
        <v/>
      </c>
      <c r="G296" s="12" t="str">
        <f t="shared" si="20"/>
        <v/>
      </c>
      <c r="H296" s="13" t="str">
        <f t="shared" si="21"/>
        <v/>
      </c>
      <c r="I296" s="12" t="str">
        <f t="shared" si="22"/>
        <v/>
      </c>
      <c r="J296" s="12" t="str">
        <f t="shared" si="23"/>
        <v/>
      </c>
      <c r="K296" s="12" t="str">
        <f t="shared" si="24"/>
        <v/>
      </c>
      <c r="L296" s="10" t="str">
        <f>IF(Инвентаризация!C296="","",Инвентаризация!M296)</f>
        <v/>
      </c>
      <c r="M296" s="10" t="str">
        <f>IF(Инвентаризация!C296="","",Инвентаризация!N296)</f>
        <v/>
      </c>
      <c r="N296" s="10" t="str">
        <f>IF(Инвентаризация!C296="","",Инвентаризация!O296)</f>
        <v/>
      </c>
      <c r="O296" s="10" t="str">
        <f>IF(Инвентаризация!C296="","",Инвентаризация!P296)</f>
        <v/>
      </c>
      <c r="P296" s="8" t="str">
        <f>IF(Инвентаризация!C296="","",Инвентаризация!Q296)</f>
        <v/>
      </c>
    </row>
    <row r="297" spans="1:16">
      <c r="A297" s="10" t="str">
        <f>IF(Инвентаризация!C297="","",Инвентаризация!B297)</f>
        <v/>
      </c>
      <c r="B297" s="10" t="str">
        <f>IF(Инвентаризация!C297="","",Инвентаризация!C297)</f>
        <v/>
      </c>
      <c r="C297" s="5" t="str">
        <f>IF(Инвентаризация!C297="","",Инвентаризация!D297)</f>
        <v/>
      </c>
      <c r="D297" s="11" t="str">
        <f>IF(Инвентаризация!C297="","",Инвентаризация!E297)</f>
        <v/>
      </c>
      <c r="E297" s="12" t="str">
        <f>IF(Инвентаризация!C297="","",Инвентаризация!F297)</f>
        <v/>
      </c>
      <c r="F297" s="12" t="str">
        <f>IF(Инвентаризация!C297="","",Инвентаризация!G297)</f>
        <v/>
      </c>
      <c r="G297" s="12" t="str">
        <f t="shared" si="20"/>
        <v/>
      </c>
      <c r="H297" s="13" t="str">
        <f t="shared" si="21"/>
        <v/>
      </c>
      <c r="I297" s="12" t="str">
        <f t="shared" si="22"/>
        <v/>
      </c>
      <c r="J297" s="12" t="str">
        <f t="shared" si="23"/>
        <v/>
      </c>
      <c r="K297" s="12" t="str">
        <f t="shared" si="24"/>
        <v/>
      </c>
      <c r="L297" s="10" t="str">
        <f>IF(Инвентаризация!C297="","",Инвентаризация!M297)</f>
        <v/>
      </c>
      <c r="M297" s="10" t="str">
        <f>IF(Инвентаризация!C297="","",Инвентаризация!N297)</f>
        <v/>
      </c>
      <c r="N297" s="10" t="str">
        <f>IF(Инвентаризация!C297="","",Инвентаризация!O297)</f>
        <v/>
      </c>
      <c r="O297" s="10" t="str">
        <f>IF(Инвентаризация!C297="","",Инвентаризация!P297)</f>
        <v/>
      </c>
      <c r="P297" s="8" t="str">
        <f>IF(Инвентаризация!C297="","",Инвентаризация!Q297)</f>
        <v/>
      </c>
    </row>
    <row r="298" spans="1:16">
      <c r="A298" s="10" t="str">
        <f>IF(Инвентаризация!C298="","",Инвентаризация!B298)</f>
        <v/>
      </c>
      <c r="B298" s="10" t="str">
        <f>IF(Инвентаризация!C298="","",Инвентаризация!C298)</f>
        <v/>
      </c>
      <c r="C298" s="5" t="str">
        <f>IF(Инвентаризация!C298="","",Инвентаризация!D298)</f>
        <v/>
      </c>
      <c r="D298" s="11" t="str">
        <f>IF(Инвентаризация!C298="","",Инвентаризация!E298)</f>
        <v/>
      </c>
      <c r="E298" s="12" t="str">
        <f>IF(Инвентаризация!C298="","",Инвентаризация!F298)</f>
        <v/>
      </c>
      <c r="F298" s="12" t="str">
        <f>IF(Инвентаризация!C298="","",Инвентаризация!G298)</f>
        <v/>
      </c>
      <c r="G298" s="12" t="str">
        <f t="shared" si="20"/>
        <v/>
      </c>
      <c r="H298" s="13" t="str">
        <f t="shared" si="21"/>
        <v/>
      </c>
      <c r="I298" s="12" t="str">
        <f t="shared" si="22"/>
        <v/>
      </c>
      <c r="J298" s="12" t="str">
        <f t="shared" si="23"/>
        <v/>
      </c>
      <c r="K298" s="12" t="str">
        <f t="shared" si="24"/>
        <v/>
      </c>
      <c r="L298" s="10" t="str">
        <f>IF(Инвентаризация!C298="","",Инвентаризация!M298)</f>
        <v/>
      </c>
      <c r="M298" s="10" t="str">
        <f>IF(Инвентаризация!C298="","",Инвентаризация!N298)</f>
        <v/>
      </c>
      <c r="N298" s="10" t="str">
        <f>IF(Инвентаризация!C298="","",Инвентаризация!O298)</f>
        <v/>
      </c>
      <c r="O298" s="10" t="str">
        <f>IF(Инвентаризация!C298="","",Инвентаризация!P298)</f>
        <v/>
      </c>
      <c r="P298" s="8" t="str">
        <f>IF(Инвентаризация!C298="","",Инвентаризация!Q298)</f>
        <v/>
      </c>
    </row>
    <row r="299" spans="1:16">
      <c r="A299" s="10" t="str">
        <f>IF(Инвентаризация!C299="","",Инвентаризация!B299)</f>
        <v/>
      </c>
      <c r="B299" s="10" t="str">
        <f>IF(Инвентаризация!C299="","",Инвентаризация!C299)</f>
        <v/>
      </c>
      <c r="C299" s="5" t="str">
        <f>IF(Инвентаризация!C299="","",Инвентаризация!D299)</f>
        <v/>
      </c>
      <c r="D299" s="11" t="str">
        <f>IF(Инвентаризация!C299="","",Инвентаризация!E299)</f>
        <v/>
      </c>
      <c r="E299" s="12" t="str">
        <f>IF(Инвентаризация!C299="","",Инвентаризация!F299)</f>
        <v/>
      </c>
      <c r="F299" s="12" t="str">
        <f>IF(Инвентаризация!C299="","",Инвентаризация!G299)</f>
        <v/>
      </c>
      <c r="G299" s="12" t="str">
        <f t="shared" si="20"/>
        <v/>
      </c>
      <c r="H299" s="13" t="str">
        <f t="shared" si="21"/>
        <v/>
      </c>
      <c r="I299" s="12" t="str">
        <f t="shared" si="22"/>
        <v/>
      </c>
      <c r="J299" s="12" t="str">
        <f t="shared" si="23"/>
        <v/>
      </c>
      <c r="K299" s="12" t="str">
        <f t="shared" si="24"/>
        <v/>
      </c>
      <c r="L299" s="10" t="str">
        <f>IF(Инвентаризация!C299="","",Инвентаризация!M299)</f>
        <v/>
      </c>
      <c r="M299" s="10" t="str">
        <f>IF(Инвентаризация!C299="","",Инвентаризация!N299)</f>
        <v/>
      </c>
      <c r="N299" s="10" t="str">
        <f>IF(Инвентаризация!C299="","",Инвентаризация!O299)</f>
        <v/>
      </c>
      <c r="O299" s="10" t="str">
        <f>IF(Инвентаризация!C299="","",Инвентаризация!P299)</f>
        <v/>
      </c>
      <c r="P299" s="8" t="str">
        <f>IF(Инвентаризация!C299="","",Инвентаризация!Q299)</f>
        <v/>
      </c>
    </row>
    <row r="300" spans="1:16">
      <c r="A300" s="10" t="str">
        <f>IF(Инвентаризация!C300="","",Инвентаризация!B300)</f>
        <v/>
      </c>
      <c r="B300" s="10" t="str">
        <f>IF(Инвентаризация!C300="","",Инвентаризация!C300)</f>
        <v/>
      </c>
      <c r="C300" s="5" t="str">
        <f>IF(Инвентаризация!C300="","",Инвентаризация!D300)</f>
        <v/>
      </c>
      <c r="D300" s="11" t="str">
        <f>IF(Инвентаризация!C300="","",Инвентаризация!E300)</f>
        <v/>
      </c>
      <c r="E300" s="12" t="str">
        <f>IF(Инвентаризация!C300="","",Инвентаризация!F300)</f>
        <v/>
      </c>
      <c r="F300" s="12" t="str">
        <f>IF(Инвентаризация!C300="","",Инвентаризация!G300)</f>
        <v/>
      </c>
      <c r="G300" s="12" t="str">
        <f t="shared" si="20"/>
        <v/>
      </c>
      <c r="H300" s="13" t="str">
        <f t="shared" si="21"/>
        <v/>
      </c>
      <c r="I300" s="12" t="str">
        <f t="shared" si="22"/>
        <v/>
      </c>
      <c r="J300" s="12" t="str">
        <f t="shared" si="23"/>
        <v/>
      </c>
      <c r="K300" s="12" t="str">
        <f t="shared" si="24"/>
        <v/>
      </c>
      <c r="L300" s="10" t="str">
        <f>IF(Инвентаризация!C300="","",Инвентаризация!M300)</f>
        <v/>
      </c>
      <c r="M300" s="10" t="str">
        <f>IF(Инвентаризация!C300="","",Инвентаризация!N300)</f>
        <v/>
      </c>
      <c r="N300" s="10" t="str">
        <f>IF(Инвентаризация!C300="","",Инвентаризация!O300)</f>
        <v/>
      </c>
      <c r="O300" s="10" t="str">
        <f>IF(Инвентаризация!C300="","",Инвентаризация!P300)</f>
        <v/>
      </c>
      <c r="P300" s="8" t="str">
        <f>IF(Инвентаризация!C300="","",Инвентаризация!Q300)</f>
        <v/>
      </c>
    </row>
    <row r="301" spans="1:16">
      <c r="A301" s="10" t="str">
        <f>IF(Инвентаризация!C301="","",Инвентаризация!B301)</f>
        <v/>
      </c>
      <c r="B301" s="10" t="str">
        <f>IF(Инвентаризация!C301="","",Инвентаризация!C301)</f>
        <v/>
      </c>
      <c r="C301" s="5" t="str">
        <f>IF(Инвентаризация!C301="","",Инвентаризация!D301)</f>
        <v/>
      </c>
      <c r="D301" s="11" t="str">
        <f>IF(Инвентаризация!C301="","",Инвентаризация!E301)</f>
        <v/>
      </c>
      <c r="E301" s="12" t="str">
        <f>IF(Инвентаризация!C301="","",Инвентаризация!F301)</f>
        <v/>
      </c>
      <c r="F301" s="12" t="str">
        <f>IF(Инвентаризация!C301="","",Инвентаризация!G301)</f>
        <v/>
      </c>
      <c r="G301" s="12" t="str">
        <f t="shared" si="20"/>
        <v/>
      </c>
      <c r="H301" s="13" t="str">
        <f t="shared" si="21"/>
        <v/>
      </c>
      <c r="I301" s="12" t="str">
        <f t="shared" si="22"/>
        <v/>
      </c>
      <c r="J301" s="12" t="str">
        <f t="shared" si="23"/>
        <v/>
      </c>
      <c r="K301" s="12" t="str">
        <f t="shared" si="24"/>
        <v/>
      </c>
      <c r="L301" s="10" t="str">
        <f>IF(Инвентаризация!C301="","",Инвентаризация!M301)</f>
        <v/>
      </c>
      <c r="M301" s="10" t="str">
        <f>IF(Инвентаризация!C301="","",Инвентаризация!N301)</f>
        <v/>
      </c>
      <c r="N301" s="10" t="str">
        <f>IF(Инвентаризация!C301="","",Инвентаризация!O301)</f>
        <v/>
      </c>
      <c r="O301" s="10" t="str">
        <f>IF(Инвентаризация!C301="","",Инвентаризация!P301)</f>
        <v/>
      </c>
      <c r="P301" s="8" t="str">
        <f>IF(Инвентаризация!C301="","",Инвентаризация!Q301)</f>
        <v/>
      </c>
    </row>
    <row r="302" spans="1:16">
      <c r="A302" s="10" t="str">
        <f>IF(Инвентаризация!C302="","",Инвентаризация!B302)</f>
        <v/>
      </c>
      <c r="B302" s="10" t="str">
        <f>IF(Инвентаризация!C302="","",Инвентаризация!C302)</f>
        <v/>
      </c>
      <c r="C302" s="5" t="str">
        <f>IF(Инвентаризация!C302="","",Инвентаризация!D302)</f>
        <v/>
      </c>
      <c r="D302" s="11" t="str">
        <f>IF(Инвентаризация!C302="","",Инвентаризация!E302)</f>
        <v/>
      </c>
      <c r="E302" s="12" t="str">
        <f>IF(Инвентаризация!C302="","",Инвентаризация!F302)</f>
        <v/>
      </c>
      <c r="F302" s="12" t="str">
        <f>IF(Инвентаризация!C302="","",Инвентаризация!G302)</f>
        <v/>
      </c>
      <c r="G302" s="12" t="str">
        <f t="shared" si="20"/>
        <v/>
      </c>
      <c r="H302" s="13" t="str">
        <f t="shared" si="21"/>
        <v/>
      </c>
      <c r="I302" s="12" t="str">
        <f t="shared" si="22"/>
        <v/>
      </c>
      <c r="J302" s="12" t="str">
        <f t="shared" si="23"/>
        <v/>
      </c>
      <c r="K302" s="12" t="str">
        <f t="shared" si="24"/>
        <v/>
      </c>
      <c r="L302" s="10" t="str">
        <f>IF(Инвентаризация!C302="","",Инвентаризация!M302)</f>
        <v/>
      </c>
      <c r="M302" s="10" t="str">
        <f>IF(Инвентаризация!C302="","",Инвентаризация!N302)</f>
        <v/>
      </c>
      <c r="N302" s="10" t="str">
        <f>IF(Инвентаризация!C302="","",Инвентаризация!O302)</f>
        <v/>
      </c>
      <c r="O302" s="10" t="str">
        <f>IF(Инвентаризация!C302="","",Инвентаризация!P302)</f>
        <v/>
      </c>
      <c r="P302" s="8" t="str">
        <f>IF(Инвентаризация!C302="","",Инвентаризация!Q302)</f>
        <v/>
      </c>
    </row>
    <row r="303" spans="1:16">
      <c r="A303" s="10" t="str">
        <f>IF(Инвентаризация!C303="","",Инвентаризация!B303)</f>
        <v/>
      </c>
      <c r="B303" s="10" t="str">
        <f>IF(Инвентаризация!C303="","",Инвентаризация!C303)</f>
        <v/>
      </c>
      <c r="C303" s="5" t="str">
        <f>IF(Инвентаризация!C303="","",Инвентаризация!D303)</f>
        <v/>
      </c>
      <c r="D303" s="11" t="str">
        <f>IF(Инвентаризация!C303="","",Инвентаризация!E303)</f>
        <v/>
      </c>
      <c r="E303" s="12" t="str">
        <f>IF(Инвентаризация!C303="","",Инвентаризация!F303)</f>
        <v/>
      </c>
      <c r="F303" s="12" t="str">
        <f>IF(Инвентаризация!C303="","",Инвентаризация!G303)</f>
        <v/>
      </c>
      <c r="G303" s="12" t="str">
        <f t="shared" si="20"/>
        <v/>
      </c>
      <c r="H303" s="13" t="str">
        <f t="shared" si="21"/>
        <v/>
      </c>
      <c r="I303" s="12" t="str">
        <f t="shared" si="22"/>
        <v/>
      </c>
      <c r="J303" s="12" t="str">
        <f t="shared" si="23"/>
        <v/>
      </c>
      <c r="K303" s="12" t="str">
        <f t="shared" si="24"/>
        <v/>
      </c>
      <c r="L303" s="10" t="str">
        <f>IF(Инвентаризация!C303="","",Инвентаризация!M303)</f>
        <v/>
      </c>
      <c r="M303" s="10" t="str">
        <f>IF(Инвентаризация!C303="","",Инвентаризация!N303)</f>
        <v/>
      </c>
      <c r="N303" s="10" t="str">
        <f>IF(Инвентаризация!C303="","",Инвентаризация!O303)</f>
        <v/>
      </c>
      <c r="O303" s="10" t="str">
        <f>IF(Инвентаризация!C303="","",Инвентаризация!P303)</f>
        <v/>
      </c>
      <c r="P303" s="8" t="str">
        <f>IF(Инвентаризация!C303="","",Инвентаризация!Q303)</f>
        <v/>
      </c>
    </row>
    <row r="304" spans="1:16">
      <c r="A304" s="10" t="str">
        <f>IF(Инвентаризация!C304="","",Инвентаризация!B304)</f>
        <v/>
      </c>
      <c r="B304" s="10" t="str">
        <f>IF(Инвентаризация!C304="","",Инвентаризация!C304)</f>
        <v/>
      </c>
      <c r="C304" s="5" t="str">
        <f>IF(Инвентаризация!C304="","",Инвентаризация!D304)</f>
        <v/>
      </c>
      <c r="D304" s="11" t="str">
        <f>IF(Инвентаризация!C304="","",Инвентаризация!E304)</f>
        <v/>
      </c>
      <c r="E304" s="12" t="str">
        <f>IF(Инвентаризация!C304="","",Инвентаризация!F304)</f>
        <v/>
      </c>
      <c r="F304" s="12" t="str">
        <f>IF(Инвентаризация!C304="","",Инвентаризация!G304)</f>
        <v/>
      </c>
      <c r="G304" s="12" t="str">
        <f t="shared" si="20"/>
        <v/>
      </c>
      <c r="H304" s="13" t="str">
        <f t="shared" si="21"/>
        <v/>
      </c>
      <c r="I304" s="12" t="str">
        <f t="shared" si="22"/>
        <v/>
      </c>
      <c r="J304" s="12" t="str">
        <f t="shared" si="23"/>
        <v/>
      </c>
      <c r="K304" s="12" t="str">
        <f t="shared" si="24"/>
        <v/>
      </c>
      <c r="L304" s="10" t="str">
        <f>IF(Инвентаризация!C304="","",Инвентаризация!M304)</f>
        <v/>
      </c>
      <c r="M304" s="10" t="str">
        <f>IF(Инвентаризация!C304="","",Инвентаризация!N304)</f>
        <v/>
      </c>
      <c r="N304" s="10" t="str">
        <f>IF(Инвентаризация!C304="","",Инвентаризация!O304)</f>
        <v/>
      </c>
      <c r="O304" s="10" t="str">
        <f>IF(Инвентаризация!C304="","",Инвентаризация!P304)</f>
        <v/>
      </c>
      <c r="P304" s="8" t="str">
        <f>IF(Инвентаризация!C304="","",Инвентаризация!Q304)</f>
        <v/>
      </c>
    </row>
    <row r="305" spans="1:16">
      <c r="A305" s="10" t="str">
        <f>IF(Инвентаризация!C305="","",Инвентаризация!B305)</f>
        <v/>
      </c>
      <c r="B305" s="10" t="str">
        <f>IF(Инвентаризация!C305="","",Инвентаризация!C305)</f>
        <v/>
      </c>
      <c r="C305" s="5" t="str">
        <f>IF(Инвентаризация!C305="","",Инвентаризация!D305)</f>
        <v/>
      </c>
      <c r="D305" s="11" t="str">
        <f>IF(Инвентаризация!C305="","",Инвентаризация!E305)</f>
        <v/>
      </c>
      <c r="E305" s="12" t="str">
        <f>IF(Инвентаризация!C305="","",Инвентаризация!F305)</f>
        <v/>
      </c>
      <c r="F305" s="12" t="str">
        <f>IF(Инвентаризация!C305="","",Инвентаризация!G305)</f>
        <v/>
      </c>
      <c r="G305" s="12" t="str">
        <f t="shared" si="20"/>
        <v/>
      </c>
      <c r="H305" s="13" t="str">
        <f t="shared" si="21"/>
        <v/>
      </c>
      <c r="I305" s="12" t="str">
        <f t="shared" si="22"/>
        <v/>
      </c>
      <c r="J305" s="12" t="str">
        <f t="shared" si="23"/>
        <v/>
      </c>
      <c r="K305" s="12" t="str">
        <f t="shared" si="24"/>
        <v/>
      </c>
      <c r="L305" s="10" t="str">
        <f>IF(Инвентаризация!C305="","",Инвентаризация!M305)</f>
        <v/>
      </c>
      <c r="M305" s="10" t="str">
        <f>IF(Инвентаризация!C305="","",Инвентаризация!N305)</f>
        <v/>
      </c>
      <c r="N305" s="10" t="str">
        <f>IF(Инвентаризация!C305="","",Инвентаризация!O305)</f>
        <v/>
      </c>
      <c r="O305" s="10" t="str">
        <f>IF(Инвентаризация!C305="","",Инвентаризация!P305)</f>
        <v/>
      </c>
      <c r="P305" s="8" t="str">
        <f>IF(Инвентаризация!C305="","",Инвентаризация!Q305)</f>
        <v/>
      </c>
    </row>
    <row r="306" spans="1:16">
      <c r="A306" s="10" t="str">
        <f>IF(Инвентаризация!C306="","",Инвентаризация!B306)</f>
        <v/>
      </c>
      <c r="B306" s="10" t="str">
        <f>IF(Инвентаризация!C306="","",Инвентаризация!C306)</f>
        <v/>
      </c>
      <c r="C306" s="5" t="str">
        <f>IF(Инвентаризация!C306="","",Инвентаризация!D306)</f>
        <v/>
      </c>
      <c r="D306" s="11" t="str">
        <f>IF(Инвентаризация!C306="","",Инвентаризация!E306)</f>
        <v/>
      </c>
      <c r="E306" s="12" t="str">
        <f>IF(Инвентаризация!C306="","",Инвентаризация!F306)</f>
        <v/>
      </c>
      <c r="F306" s="12" t="str">
        <f>IF(Инвентаризация!C306="","",Инвентаризация!G306)</f>
        <v/>
      </c>
      <c r="G306" s="12" t="str">
        <f t="shared" si="20"/>
        <v/>
      </c>
      <c r="H306" s="13" t="str">
        <f t="shared" si="21"/>
        <v/>
      </c>
      <c r="I306" s="12" t="str">
        <f t="shared" si="22"/>
        <v/>
      </c>
      <c r="J306" s="12" t="str">
        <f t="shared" si="23"/>
        <v/>
      </c>
      <c r="K306" s="12" t="str">
        <f t="shared" si="24"/>
        <v/>
      </c>
      <c r="L306" s="10" t="str">
        <f>IF(Инвентаризация!C306="","",Инвентаризация!M306)</f>
        <v/>
      </c>
      <c r="M306" s="10" t="str">
        <f>IF(Инвентаризация!C306="","",Инвентаризация!N306)</f>
        <v/>
      </c>
      <c r="N306" s="10" t="str">
        <f>IF(Инвентаризация!C306="","",Инвентаризация!O306)</f>
        <v/>
      </c>
      <c r="O306" s="10" t="str">
        <f>IF(Инвентаризация!C306="","",Инвентаризация!P306)</f>
        <v/>
      </c>
      <c r="P306" s="8" t="str">
        <f>IF(Инвентаризация!C306="","",Инвентаризация!Q306)</f>
        <v/>
      </c>
    </row>
    <row r="307" spans="1:16">
      <c r="A307" s="10" t="str">
        <f>IF(Инвентаризация!C307="","",Инвентаризация!B307)</f>
        <v/>
      </c>
      <c r="B307" s="10" t="str">
        <f>IF(Инвентаризация!C307="","",Инвентаризация!C307)</f>
        <v/>
      </c>
      <c r="C307" s="5" t="str">
        <f>IF(Инвентаризация!C307="","",Инвентаризация!D307)</f>
        <v/>
      </c>
      <c r="D307" s="11" t="str">
        <f>IF(Инвентаризация!C307="","",Инвентаризация!E307)</f>
        <v/>
      </c>
      <c r="E307" s="12" t="str">
        <f>IF(Инвентаризация!C307="","",Инвентаризация!F307)</f>
        <v/>
      </c>
      <c r="F307" s="12" t="str">
        <f>IF(Инвентаризация!C307="","",Инвентаризация!G307)</f>
        <v/>
      </c>
      <c r="G307" s="12" t="str">
        <f t="shared" si="20"/>
        <v/>
      </c>
      <c r="H307" s="13" t="str">
        <f t="shared" si="21"/>
        <v/>
      </c>
      <c r="I307" s="12" t="str">
        <f t="shared" si="22"/>
        <v/>
      </c>
      <c r="J307" s="12" t="str">
        <f t="shared" si="23"/>
        <v/>
      </c>
      <c r="K307" s="12" t="str">
        <f t="shared" si="24"/>
        <v/>
      </c>
      <c r="L307" s="10" t="str">
        <f>IF(Инвентаризация!C307="","",Инвентаризация!M307)</f>
        <v/>
      </c>
      <c r="M307" s="10" t="str">
        <f>IF(Инвентаризация!C307="","",Инвентаризация!N307)</f>
        <v/>
      </c>
      <c r="N307" s="10" t="str">
        <f>IF(Инвентаризация!C307="","",Инвентаризация!O307)</f>
        <v/>
      </c>
      <c r="O307" s="10" t="str">
        <f>IF(Инвентаризация!C307="","",Инвентаризация!P307)</f>
        <v/>
      </c>
      <c r="P307" s="8" t="str">
        <f>IF(Инвентаризация!C307="","",Инвентаризация!Q307)</f>
        <v/>
      </c>
    </row>
    <row r="308" spans="1:16">
      <c r="A308" s="10" t="str">
        <f>IF(Инвентаризация!C308="","",Инвентаризация!B308)</f>
        <v/>
      </c>
      <c r="B308" s="10" t="str">
        <f>IF(Инвентаризация!C308="","",Инвентаризация!C308)</f>
        <v/>
      </c>
      <c r="C308" s="5" t="str">
        <f>IF(Инвентаризация!C308="","",Инвентаризация!D308)</f>
        <v/>
      </c>
      <c r="D308" s="11" t="str">
        <f>IF(Инвентаризация!C308="","",Инвентаризация!E308)</f>
        <v/>
      </c>
      <c r="E308" s="12" t="str">
        <f>IF(Инвентаризация!C308="","",Инвентаризация!F308)</f>
        <v/>
      </c>
      <c r="F308" s="12" t="str">
        <f>IF(Инвентаризация!C308="","",Инвентаризация!G308)</f>
        <v/>
      </c>
      <c r="G308" s="12" t="str">
        <f t="shared" si="20"/>
        <v/>
      </c>
      <c r="H308" s="13" t="str">
        <f t="shared" si="21"/>
        <v/>
      </c>
      <c r="I308" s="12" t="str">
        <f t="shared" si="22"/>
        <v/>
      </c>
      <c r="J308" s="12" t="str">
        <f t="shared" si="23"/>
        <v/>
      </c>
      <c r="K308" s="12" t="str">
        <f t="shared" si="24"/>
        <v/>
      </c>
      <c r="L308" s="10" t="str">
        <f>IF(Инвентаризация!C308="","",Инвентаризация!M308)</f>
        <v/>
      </c>
      <c r="M308" s="10" t="str">
        <f>IF(Инвентаризация!C308="","",Инвентаризация!N308)</f>
        <v/>
      </c>
      <c r="N308" s="10" t="str">
        <f>IF(Инвентаризация!C308="","",Инвентаризация!O308)</f>
        <v/>
      </c>
      <c r="O308" s="10" t="str">
        <f>IF(Инвентаризация!C308="","",Инвентаризация!P308)</f>
        <v/>
      </c>
      <c r="P308" s="8" t="str">
        <f>IF(Инвентаризация!C308="","",Инвентаризация!Q308)</f>
        <v/>
      </c>
    </row>
    <row r="309" spans="1:16">
      <c r="A309" s="10" t="str">
        <f>IF(Инвентаризация!C309="","",Инвентаризация!B309)</f>
        <v/>
      </c>
      <c r="B309" s="10" t="str">
        <f>IF(Инвентаризация!C309="","",Инвентаризация!C309)</f>
        <v/>
      </c>
      <c r="C309" s="5" t="str">
        <f>IF(Инвентаризация!C309="","",Инвентаризация!D309)</f>
        <v/>
      </c>
      <c r="D309" s="11" t="str">
        <f>IF(Инвентаризация!C309="","",Инвентаризация!E309)</f>
        <v/>
      </c>
      <c r="E309" s="12" t="str">
        <f>IF(Инвентаризация!C309="","",Инвентаризация!F309)</f>
        <v/>
      </c>
      <c r="F309" s="12" t="str">
        <f>IF(Инвентаризация!C309="","",Инвентаризация!G309)</f>
        <v/>
      </c>
      <c r="G309" s="12" t="str">
        <f t="shared" si="20"/>
        <v/>
      </c>
      <c r="H309" s="13" t="str">
        <f t="shared" si="21"/>
        <v/>
      </c>
      <c r="I309" s="12" t="str">
        <f t="shared" si="22"/>
        <v/>
      </c>
      <c r="J309" s="12" t="str">
        <f t="shared" si="23"/>
        <v/>
      </c>
      <c r="K309" s="12" t="str">
        <f t="shared" si="24"/>
        <v/>
      </c>
      <c r="L309" s="10" t="str">
        <f>IF(Инвентаризация!C309="","",Инвентаризация!M309)</f>
        <v/>
      </c>
      <c r="M309" s="10" t="str">
        <f>IF(Инвентаризация!C309="","",Инвентаризация!N309)</f>
        <v/>
      </c>
      <c r="N309" s="10" t="str">
        <f>IF(Инвентаризация!C309="","",Инвентаризация!O309)</f>
        <v/>
      </c>
      <c r="O309" s="10" t="str">
        <f>IF(Инвентаризация!C309="","",Инвентаризация!P309)</f>
        <v/>
      </c>
      <c r="P309" s="8" t="str">
        <f>IF(Инвентаризация!C309="","",Инвентаризация!Q309)</f>
        <v/>
      </c>
    </row>
    <row r="310" spans="1:16">
      <c r="A310" s="10" t="str">
        <f>IF(Инвентаризация!C310="","",Инвентаризация!B310)</f>
        <v/>
      </c>
      <c r="B310" s="10" t="str">
        <f>IF(Инвентаризация!C310="","",Инвентаризация!C310)</f>
        <v/>
      </c>
      <c r="C310" s="5" t="str">
        <f>IF(Инвентаризация!C310="","",Инвентаризация!D310)</f>
        <v/>
      </c>
      <c r="D310" s="11" t="str">
        <f>IF(Инвентаризация!C310="","",Инвентаризация!E310)</f>
        <v/>
      </c>
      <c r="E310" s="12" t="str">
        <f>IF(Инвентаризация!C310="","",Инвентаризация!F310)</f>
        <v/>
      </c>
      <c r="F310" s="12" t="str">
        <f>IF(Инвентаризация!C310="","",Инвентаризация!G310)</f>
        <v/>
      </c>
      <c r="G310" s="12" t="str">
        <f t="shared" si="20"/>
        <v/>
      </c>
      <c r="H310" s="13" t="str">
        <f t="shared" si="21"/>
        <v/>
      </c>
      <c r="I310" s="12" t="str">
        <f t="shared" si="22"/>
        <v/>
      </c>
      <c r="J310" s="12" t="str">
        <f t="shared" si="23"/>
        <v/>
      </c>
      <c r="K310" s="12" t="str">
        <f t="shared" si="24"/>
        <v/>
      </c>
      <c r="L310" s="10" t="str">
        <f>IF(Инвентаризация!C310="","",Инвентаризация!M310)</f>
        <v/>
      </c>
      <c r="M310" s="10" t="str">
        <f>IF(Инвентаризация!C310="","",Инвентаризация!N310)</f>
        <v/>
      </c>
      <c r="N310" s="10" t="str">
        <f>IF(Инвентаризация!C310="","",Инвентаризация!O310)</f>
        <v/>
      </c>
      <c r="O310" s="10" t="str">
        <f>IF(Инвентаризация!C310="","",Инвентаризация!P310)</f>
        <v/>
      </c>
      <c r="P310" s="8" t="str">
        <f>IF(Инвентаризация!C310="","",Инвентаризация!Q310)</f>
        <v/>
      </c>
    </row>
    <row r="311" spans="1:16">
      <c r="A311" s="10" t="str">
        <f>IF(Инвентаризация!C311="","",Инвентаризация!B311)</f>
        <v/>
      </c>
      <c r="B311" s="10" t="str">
        <f>IF(Инвентаризация!C311="","",Инвентаризация!C311)</f>
        <v/>
      </c>
      <c r="C311" s="5" t="str">
        <f>IF(Инвентаризация!C311="","",Инвентаризация!D311)</f>
        <v/>
      </c>
      <c r="D311" s="11" t="str">
        <f>IF(Инвентаризация!C311="","",Инвентаризация!E311)</f>
        <v/>
      </c>
      <c r="E311" s="12" t="str">
        <f>IF(Инвентаризация!C311="","",Инвентаризация!F311)</f>
        <v/>
      </c>
      <c r="F311" s="12" t="str">
        <f>IF(Инвентаризация!C311="","",Инвентаризация!G311)</f>
        <v/>
      </c>
      <c r="G311" s="12" t="str">
        <f t="shared" si="20"/>
        <v/>
      </c>
      <c r="H311" s="13" t="str">
        <f t="shared" si="21"/>
        <v/>
      </c>
      <c r="I311" s="12" t="str">
        <f t="shared" si="22"/>
        <v/>
      </c>
      <c r="J311" s="12" t="str">
        <f t="shared" si="23"/>
        <v/>
      </c>
      <c r="K311" s="12" t="str">
        <f t="shared" si="24"/>
        <v/>
      </c>
      <c r="L311" s="10" t="str">
        <f>IF(Инвентаризация!C311="","",Инвентаризация!M311)</f>
        <v/>
      </c>
      <c r="M311" s="10" t="str">
        <f>IF(Инвентаризация!C311="","",Инвентаризация!N311)</f>
        <v/>
      </c>
      <c r="N311" s="10" t="str">
        <f>IF(Инвентаризация!C311="","",Инвентаризация!O311)</f>
        <v/>
      </c>
      <c r="O311" s="10" t="str">
        <f>IF(Инвентаризация!C311="","",Инвентаризация!P311)</f>
        <v/>
      </c>
      <c r="P311" s="8" t="str">
        <f>IF(Инвентаризация!C311="","",Инвентаризация!Q311)</f>
        <v/>
      </c>
    </row>
    <row r="312" spans="1:16">
      <c r="A312" s="10" t="str">
        <f>IF(Инвентаризация!C312="","",Инвентаризация!B312)</f>
        <v/>
      </c>
      <c r="B312" s="10" t="str">
        <f>IF(Инвентаризация!C312="","",Инвентаризация!C312)</f>
        <v/>
      </c>
      <c r="C312" s="5" t="str">
        <f>IF(Инвентаризация!C312="","",Инвентаризация!D312)</f>
        <v/>
      </c>
      <c r="D312" s="11" t="str">
        <f>IF(Инвентаризация!C312="","",Инвентаризация!E312)</f>
        <v/>
      </c>
      <c r="E312" s="12" t="str">
        <f>IF(Инвентаризация!C312="","",Инвентаризация!F312)</f>
        <v/>
      </c>
      <c r="F312" s="12" t="str">
        <f>IF(Инвентаризация!C312="","",Инвентаризация!G312)</f>
        <v/>
      </c>
      <c r="G312" s="12" t="str">
        <f t="shared" si="20"/>
        <v/>
      </c>
      <c r="H312" s="13" t="str">
        <f t="shared" si="21"/>
        <v/>
      </c>
      <c r="I312" s="12" t="str">
        <f t="shared" si="22"/>
        <v/>
      </c>
      <c r="J312" s="12" t="str">
        <f t="shared" si="23"/>
        <v/>
      </c>
      <c r="K312" s="12" t="str">
        <f t="shared" si="24"/>
        <v/>
      </c>
      <c r="L312" s="10" t="str">
        <f>IF(Инвентаризация!C312="","",Инвентаризация!M312)</f>
        <v/>
      </c>
      <c r="M312" s="10" t="str">
        <f>IF(Инвентаризация!C312="","",Инвентаризация!N312)</f>
        <v/>
      </c>
      <c r="N312" s="10" t="str">
        <f>IF(Инвентаризация!C312="","",Инвентаризация!O312)</f>
        <v/>
      </c>
      <c r="O312" s="10" t="str">
        <f>IF(Инвентаризация!C312="","",Инвентаризация!P312)</f>
        <v/>
      </c>
      <c r="P312" s="8" t="str">
        <f>IF(Инвентаризация!C312="","",Инвентаризация!Q312)</f>
        <v/>
      </c>
    </row>
    <row r="313" spans="1:16">
      <c r="A313" s="10" t="str">
        <f>IF(Инвентаризация!C313="","",Инвентаризация!B313)</f>
        <v/>
      </c>
      <c r="B313" s="10" t="str">
        <f>IF(Инвентаризация!C313="","",Инвентаризация!C313)</f>
        <v/>
      </c>
      <c r="C313" s="5" t="str">
        <f>IF(Инвентаризация!C313="","",Инвентаризация!D313)</f>
        <v/>
      </c>
      <c r="D313" s="11" t="str">
        <f>IF(Инвентаризация!C313="","",Инвентаризация!E313)</f>
        <v/>
      </c>
      <c r="E313" s="12" t="str">
        <f>IF(Инвентаризация!C313="","",Инвентаризация!F313)</f>
        <v/>
      </c>
      <c r="F313" s="12" t="str">
        <f>IF(Инвентаризация!C313="","",Инвентаризация!G313)</f>
        <v/>
      </c>
      <c r="G313" s="12" t="str">
        <f t="shared" si="20"/>
        <v/>
      </c>
      <c r="H313" s="13" t="str">
        <f t="shared" si="21"/>
        <v/>
      </c>
      <c r="I313" s="12" t="str">
        <f t="shared" si="22"/>
        <v/>
      </c>
      <c r="J313" s="12" t="str">
        <f t="shared" si="23"/>
        <v/>
      </c>
      <c r="K313" s="12" t="str">
        <f t="shared" si="24"/>
        <v/>
      </c>
      <c r="L313" s="10" t="str">
        <f>IF(Инвентаризация!C313="","",Инвентаризация!M313)</f>
        <v/>
      </c>
      <c r="M313" s="10" t="str">
        <f>IF(Инвентаризация!C313="","",Инвентаризация!N313)</f>
        <v/>
      </c>
      <c r="N313" s="10" t="str">
        <f>IF(Инвентаризация!C313="","",Инвентаризация!O313)</f>
        <v/>
      </c>
      <c r="O313" s="10" t="str">
        <f>IF(Инвентаризация!C313="","",Инвентаризация!P313)</f>
        <v/>
      </c>
      <c r="P313" s="8" t="str">
        <f>IF(Инвентаризация!C313="","",Инвентаризация!Q313)</f>
        <v/>
      </c>
    </row>
    <row r="314" spans="1:16">
      <c r="A314" s="10" t="str">
        <f>IF(Инвентаризация!C314="","",Инвентаризация!B314)</f>
        <v/>
      </c>
      <c r="B314" s="10" t="str">
        <f>IF(Инвентаризация!C314="","",Инвентаризация!C314)</f>
        <v/>
      </c>
      <c r="C314" s="5" t="str">
        <f>IF(Инвентаризация!C314="","",Инвентаризация!D314)</f>
        <v/>
      </c>
      <c r="D314" s="11" t="str">
        <f>IF(Инвентаризация!C314="","",Инвентаризация!E314)</f>
        <v/>
      </c>
      <c r="E314" s="12" t="str">
        <f>IF(Инвентаризация!C314="","",Инвентаризация!F314)</f>
        <v/>
      </c>
      <c r="F314" s="12" t="str">
        <f>IF(Инвентаризация!C314="","",Инвентаризация!G314)</f>
        <v/>
      </c>
      <c r="G314" s="12" t="str">
        <f t="shared" si="20"/>
        <v/>
      </c>
      <c r="H314" s="13" t="str">
        <f t="shared" si="21"/>
        <v/>
      </c>
      <c r="I314" s="12" t="str">
        <f t="shared" si="22"/>
        <v/>
      </c>
      <c r="J314" s="12" t="str">
        <f t="shared" si="23"/>
        <v/>
      </c>
      <c r="K314" s="12" t="str">
        <f t="shared" si="24"/>
        <v/>
      </c>
      <c r="L314" s="10" t="str">
        <f>IF(Инвентаризация!C314="","",Инвентаризация!M314)</f>
        <v/>
      </c>
      <c r="M314" s="10" t="str">
        <f>IF(Инвентаризация!C314="","",Инвентаризация!N314)</f>
        <v/>
      </c>
      <c r="N314" s="10" t="str">
        <f>IF(Инвентаризация!C314="","",Инвентаризация!O314)</f>
        <v/>
      </c>
      <c r="O314" s="10" t="str">
        <f>IF(Инвентаризация!C314="","",Инвентаризация!P314)</f>
        <v/>
      </c>
      <c r="P314" s="8" t="str">
        <f>IF(Инвентаризация!C314="","",Инвентаризация!Q314)</f>
        <v/>
      </c>
    </row>
    <row r="315" spans="1:16">
      <c r="A315" s="10" t="str">
        <f>IF(Инвентаризация!C315="","",Инвентаризация!B315)</f>
        <v/>
      </c>
      <c r="B315" s="10" t="str">
        <f>IF(Инвентаризация!C315="","",Инвентаризация!C315)</f>
        <v/>
      </c>
      <c r="C315" s="5" t="str">
        <f>IF(Инвентаризация!C315="","",Инвентаризация!D315)</f>
        <v/>
      </c>
      <c r="D315" s="11" t="str">
        <f>IF(Инвентаризация!C315="","",Инвентаризация!E315)</f>
        <v/>
      </c>
      <c r="E315" s="12" t="str">
        <f>IF(Инвентаризация!C315="","",Инвентаризация!F315)</f>
        <v/>
      </c>
      <c r="F315" s="12" t="str">
        <f>IF(Инвентаризация!C315="","",Инвентаризация!G315)</f>
        <v/>
      </c>
      <c r="G315" s="12" t="str">
        <f t="shared" si="20"/>
        <v/>
      </c>
      <c r="H315" s="13" t="str">
        <f t="shared" si="21"/>
        <v/>
      </c>
      <c r="I315" s="12" t="str">
        <f t="shared" si="22"/>
        <v/>
      </c>
      <c r="J315" s="12" t="str">
        <f t="shared" si="23"/>
        <v/>
      </c>
      <c r="K315" s="12" t="str">
        <f t="shared" si="24"/>
        <v/>
      </c>
      <c r="L315" s="10" t="str">
        <f>IF(Инвентаризация!C315="","",Инвентаризация!M315)</f>
        <v/>
      </c>
      <c r="M315" s="10" t="str">
        <f>IF(Инвентаризация!C315="","",Инвентаризация!N315)</f>
        <v/>
      </c>
      <c r="N315" s="10" t="str">
        <f>IF(Инвентаризация!C315="","",Инвентаризация!O315)</f>
        <v/>
      </c>
      <c r="O315" s="10" t="str">
        <f>IF(Инвентаризация!C315="","",Инвентаризация!P315)</f>
        <v/>
      </c>
      <c r="P315" s="8" t="str">
        <f>IF(Инвентаризация!C315="","",Инвентаризация!Q315)</f>
        <v/>
      </c>
    </row>
    <row r="316" spans="1:16">
      <c r="A316" s="10" t="str">
        <f>IF(Инвентаризация!C316="","",Инвентаризация!B316)</f>
        <v/>
      </c>
      <c r="B316" s="10" t="str">
        <f>IF(Инвентаризация!C316="","",Инвентаризация!C316)</f>
        <v/>
      </c>
      <c r="C316" s="5" t="str">
        <f>IF(Инвентаризация!C316="","",Инвентаризация!D316)</f>
        <v/>
      </c>
      <c r="D316" s="11" t="str">
        <f>IF(Инвентаризация!C316="","",Инвентаризация!E316)</f>
        <v/>
      </c>
      <c r="E316" s="12" t="str">
        <f>IF(Инвентаризация!C316="","",Инвентаризация!F316)</f>
        <v/>
      </c>
      <c r="F316" s="12" t="str">
        <f>IF(Инвентаризация!C316="","",Инвентаризация!G316)</f>
        <v/>
      </c>
      <c r="G316" s="12" t="str">
        <f t="shared" si="20"/>
        <v/>
      </c>
      <c r="H316" s="13" t="str">
        <f t="shared" si="21"/>
        <v/>
      </c>
      <c r="I316" s="12" t="str">
        <f t="shared" si="22"/>
        <v/>
      </c>
      <c r="J316" s="12" t="str">
        <f t="shared" si="23"/>
        <v/>
      </c>
      <c r="K316" s="12" t="str">
        <f t="shared" si="24"/>
        <v/>
      </c>
      <c r="L316" s="10" t="str">
        <f>IF(Инвентаризация!C316="","",Инвентаризация!M316)</f>
        <v/>
      </c>
      <c r="M316" s="10" t="str">
        <f>IF(Инвентаризация!C316="","",Инвентаризация!N316)</f>
        <v/>
      </c>
      <c r="N316" s="10" t="str">
        <f>IF(Инвентаризация!C316="","",Инвентаризация!O316)</f>
        <v/>
      </c>
      <c r="O316" s="10" t="str">
        <f>IF(Инвентаризация!C316="","",Инвентаризация!P316)</f>
        <v/>
      </c>
      <c r="P316" s="8" t="str">
        <f>IF(Инвентаризация!C316="","",Инвентаризация!Q316)</f>
        <v/>
      </c>
    </row>
    <row r="317" spans="1:16">
      <c r="A317" s="10" t="str">
        <f>IF(Инвентаризация!C317="","",Инвентаризация!B317)</f>
        <v/>
      </c>
      <c r="B317" s="10" t="str">
        <f>IF(Инвентаризация!C317="","",Инвентаризация!C317)</f>
        <v/>
      </c>
      <c r="C317" s="5" t="str">
        <f>IF(Инвентаризация!C317="","",Инвентаризация!D317)</f>
        <v/>
      </c>
      <c r="D317" s="11" t="str">
        <f>IF(Инвентаризация!C317="","",Инвентаризация!E317)</f>
        <v/>
      </c>
      <c r="E317" s="12" t="str">
        <f>IF(Инвентаризация!C317="","",Инвентаризация!F317)</f>
        <v/>
      </c>
      <c r="F317" s="12" t="str">
        <f>IF(Инвентаризация!C317="","",Инвентаризация!G317)</f>
        <v/>
      </c>
      <c r="G317" s="12" t="str">
        <f t="shared" si="20"/>
        <v/>
      </c>
      <c r="H317" s="13" t="str">
        <f t="shared" si="21"/>
        <v/>
      </c>
      <c r="I317" s="12" t="str">
        <f t="shared" si="22"/>
        <v/>
      </c>
      <c r="J317" s="12" t="str">
        <f t="shared" si="23"/>
        <v/>
      </c>
      <c r="K317" s="12" t="str">
        <f t="shared" si="24"/>
        <v/>
      </c>
      <c r="L317" s="10" t="str">
        <f>IF(Инвентаризация!C317="","",Инвентаризация!M317)</f>
        <v/>
      </c>
      <c r="M317" s="10" t="str">
        <f>IF(Инвентаризация!C317="","",Инвентаризация!N317)</f>
        <v/>
      </c>
      <c r="N317" s="10" t="str">
        <f>IF(Инвентаризация!C317="","",Инвентаризация!O317)</f>
        <v/>
      </c>
      <c r="O317" s="10" t="str">
        <f>IF(Инвентаризация!C317="","",Инвентаризация!P317)</f>
        <v/>
      </c>
      <c r="P317" s="8" t="str">
        <f>IF(Инвентаризация!C317="","",Инвентаризация!Q317)</f>
        <v/>
      </c>
    </row>
    <row r="318" spans="1:16">
      <c r="A318" s="10" t="str">
        <f>IF(Инвентаризация!C318="","",Инвентаризация!B318)</f>
        <v/>
      </c>
      <c r="B318" s="10" t="str">
        <f>IF(Инвентаризация!C318="","",Инвентаризация!C318)</f>
        <v/>
      </c>
      <c r="C318" s="5" t="str">
        <f>IF(Инвентаризация!C318="","",Инвентаризация!D318)</f>
        <v/>
      </c>
      <c r="D318" s="11" t="str">
        <f>IF(Инвентаризация!C318="","",Инвентаризация!E318)</f>
        <v/>
      </c>
      <c r="E318" s="12" t="str">
        <f>IF(Инвентаризация!C318="","",Инвентаризация!F318)</f>
        <v/>
      </c>
      <c r="F318" s="12" t="str">
        <f>IF(Инвентаризация!C318="","",Инвентаризация!G318)</f>
        <v/>
      </c>
      <c r="G318" s="12" t="str">
        <f t="shared" si="20"/>
        <v/>
      </c>
      <c r="H318" s="13" t="str">
        <f t="shared" si="21"/>
        <v/>
      </c>
      <c r="I318" s="12" t="str">
        <f t="shared" si="22"/>
        <v/>
      </c>
      <c r="J318" s="12" t="str">
        <f t="shared" si="23"/>
        <v/>
      </c>
      <c r="K318" s="12" t="str">
        <f t="shared" si="24"/>
        <v/>
      </c>
      <c r="L318" s="10" t="str">
        <f>IF(Инвентаризация!C318="","",Инвентаризация!M318)</f>
        <v/>
      </c>
      <c r="M318" s="10" t="str">
        <f>IF(Инвентаризация!C318="","",Инвентаризация!N318)</f>
        <v/>
      </c>
      <c r="N318" s="10" t="str">
        <f>IF(Инвентаризация!C318="","",Инвентаризация!O318)</f>
        <v/>
      </c>
      <c r="O318" s="10" t="str">
        <f>IF(Инвентаризация!C318="","",Инвентаризация!P318)</f>
        <v/>
      </c>
      <c r="P318" s="8" t="str">
        <f>IF(Инвентаризация!C318="","",Инвентаризация!Q318)</f>
        <v/>
      </c>
    </row>
    <row r="319" spans="1:16">
      <c r="A319" s="10" t="str">
        <f>IF(Инвентаризация!C319="","",Инвентаризация!B319)</f>
        <v/>
      </c>
      <c r="B319" s="10" t="str">
        <f>IF(Инвентаризация!C319="","",Инвентаризация!C319)</f>
        <v/>
      </c>
      <c r="C319" s="5" t="str">
        <f>IF(Инвентаризация!C319="","",Инвентаризация!D319)</f>
        <v/>
      </c>
      <c r="D319" s="11" t="str">
        <f>IF(Инвентаризация!C319="","",Инвентаризация!E319)</f>
        <v/>
      </c>
      <c r="E319" s="12" t="str">
        <f>IF(Инвентаризация!C319="","",Инвентаризация!F319)</f>
        <v/>
      </c>
      <c r="F319" s="12" t="str">
        <f>IF(Инвентаризация!C319="","",Инвентаризация!G319)</f>
        <v/>
      </c>
      <c r="G319" s="12" t="str">
        <f t="shared" si="20"/>
        <v/>
      </c>
      <c r="H319" s="13" t="str">
        <f t="shared" si="21"/>
        <v/>
      </c>
      <c r="I319" s="12" t="str">
        <f t="shared" si="22"/>
        <v/>
      </c>
      <c r="J319" s="12" t="str">
        <f t="shared" si="23"/>
        <v/>
      </c>
      <c r="K319" s="12" t="str">
        <f t="shared" si="24"/>
        <v/>
      </c>
      <c r="L319" s="10" t="str">
        <f>IF(Инвентаризация!C319="","",Инвентаризация!M319)</f>
        <v/>
      </c>
      <c r="M319" s="10" t="str">
        <f>IF(Инвентаризация!C319="","",Инвентаризация!N319)</f>
        <v/>
      </c>
      <c r="N319" s="10" t="str">
        <f>IF(Инвентаризация!C319="","",Инвентаризация!O319)</f>
        <v/>
      </c>
      <c r="O319" s="10" t="str">
        <f>IF(Инвентаризация!C319="","",Инвентаризация!P319)</f>
        <v/>
      </c>
      <c r="P319" s="8" t="str">
        <f>IF(Инвентаризация!C319="","",Инвентаризация!Q319)</f>
        <v/>
      </c>
    </row>
    <row r="320" spans="1:16">
      <c r="A320" s="10" t="str">
        <f>IF(Инвентаризация!C320="","",Инвентаризация!B320)</f>
        <v/>
      </c>
      <c r="B320" s="10" t="str">
        <f>IF(Инвентаризация!C320="","",Инвентаризация!C320)</f>
        <v/>
      </c>
      <c r="C320" s="5" t="str">
        <f>IF(Инвентаризация!C320="","",Инвентаризация!D320)</f>
        <v/>
      </c>
      <c r="D320" s="11" t="str">
        <f>IF(Инвентаризация!C320="","",Инвентаризация!E320)</f>
        <v/>
      </c>
      <c r="E320" s="12" t="str">
        <f>IF(Инвентаризация!C320="","",Инвентаризация!F320)</f>
        <v/>
      </c>
      <c r="F320" s="12" t="str">
        <f>IF(Инвентаризация!C320="","",Инвентаризация!G320)</f>
        <v/>
      </c>
      <c r="G320" s="12" t="str">
        <f t="shared" si="20"/>
        <v/>
      </c>
      <c r="H320" s="13" t="str">
        <f t="shared" si="21"/>
        <v/>
      </c>
      <c r="I320" s="12" t="str">
        <f t="shared" si="22"/>
        <v/>
      </c>
      <c r="J320" s="12" t="str">
        <f t="shared" si="23"/>
        <v/>
      </c>
      <c r="K320" s="12" t="str">
        <f t="shared" si="24"/>
        <v/>
      </c>
      <c r="L320" s="10" t="str">
        <f>IF(Инвентаризация!C320="","",Инвентаризация!M320)</f>
        <v/>
      </c>
      <c r="M320" s="10" t="str">
        <f>IF(Инвентаризация!C320="","",Инвентаризация!N320)</f>
        <v/>
      </c>
      <c r="N320" s="10" t="str">
        <f>IF(Инвентаризация!C320="","",Инвентаризация!O320)</f>
        <v/>
      </c>
      <c r="O320" s="10" t="str">
        <f>IF(Инвентаризация!C320="","",Инвентаризация!P320)</f>
        <v/>
      </c>
      <c r="P320" s="8" t="str">
        <f>IF(Инвентаризация!C320="","",Инвентаризация!Q320)</f>
        <v/>
      </c>
    </row>
    <row r="321" spans="1:16">
      <c r="A321" s="10" t="str">
        <f>IF(Инвентаризация!C321="","",Инвентаризация!B321)</f>
        <v/>
      </c>
      <c r="B321" s="10" t="str">
        <f>IF(Инвентаризация!C321="","",Инвентаризация!C321)</f>
        <v/>
      </c>
      <c r="C321" s="5" t="str">
        <f>IF(Инвентаризация!C321="","",Инвентаризация!D321)</f>
        <v/>
      </c>
      <c r="D321" s="11" t="str">
        <f>IF(Инвентаризация!C321="","",Инвентаризация!E321)</f>
        <v/>
      </c>
      <c r="E321" s="12" t="str">
        <f>IF(Инвентаризация!C321="","",Инвентаризация!F321)</f>
        <v/>
      </c>
      <c r="F321" s="12" t="str">
        <f>IF(Инвентаризация!C321="","",Инвентаризация!G321)</f>
        <v/>
      </c>
      <c r="G321" s="12" t="str">
        <f t="shared" si="20"/>
        <v/>
      </c>
      <c r="H321" s="13" t="str">
        <f t="shared" si="21"/>
        <v/>
      </c>
      <c r="I321" s="12" t="str">
        <f t="shared" si="22"/>
        <v/>
      </c>
      <c r="J321" s="12" t="str">
        <f t="shared" si="23"/>
        <v/>
      </c>
      <c r="K321" s="12" t="str">
        <f t="shared" si="24"/>
        <v/>
      </c>
      <c r="L321" s="10" t="str">
        <f>IF(Инвентаризация!C321="","",Инвентаризация!M321)</f>
        <v/>
      </c>
      <c r="M321" s="10" t="str">
        <f>IF(Инвентаризация!C321="","",Инвентаризация!N321)</f>
        <v/>
      </c>
      <c r="N321" s="10" t="str">
        <f>IF(Инвентаризация!C321="","",Инвентаризация!O321)</f>
        <v/>
      </c>
      <c r="O321" s="10" t="str">
        <f>IF(Инвентаризация!C321="","",Инвентаризация!P321)</f>
        <v/>
      </c>
      <c r="P321" s="8" t="str">
        <f>IF(Инвентаризация!C321="","",Инвентаризация!Q321)</f>
        <v/>
      </c>
    </row>
    <row r="322" spans="1:16">
      <c r="A322" s="10" t="str">
        <f>IF(Инвентаризация!C322="","",Инвентаризация!B322)</f>
        <v/>
      </c>
      <c r="B322" s="10" t="str">
        <f>IF(Инвентаризация!C322="","",Инвентаризация!C322)</f>
        <v/>
      </c>
      <c r="C322" s="5" t="str">
        <f>IF(Инвентаризация!C322="","",Инвентаризация!D322)</f>
        <v/>
      </c>
      <c r="D322" s="11" t="str">
        <f>IF(Инвентаризация!C322="","",Инвентаризация!E322)</f>
        <v/>
      </c>
      <c r="E322" s="12" t="str">
        <f>IF(Инвентаризация!C322="","",Инвентаризация!F322)</f>
        <v/>
      </c>
      <c r="F322" s="12" t="str">
        <f>IF(Инвентаризация!C322="","",Инвентаризация!G322)</f>
        <v/>
      </c>
      <c r="G322" s="12" t="str">
        <f t="shared" ref="G322:G385" si="25">IF(OR(E322="",F322=""),"",F322-E322)</f>
        <v/>
      </c>
      <c r="H322" s="13" t="str">
        <f t="shared" ref="H322:H385" si="26">IFERROR(G322/F322,"")</f>
        <v/>
      </c>
      <c r="I322" s="12" t="str">
        <f t="shared" ref="I322:I385" si="27">IF(OR(D322="",E322=""),"",D322*E322)</f>
        <v/>
      </c>
      <c r="J322" s="12" t="str">
        <f t="shared" ref="J322:J385" si="28">IF(OR(D322="",F322=""),"",D322*F322)</f>
        <v/>
      </c>
      <c r="K322" s="12" t="str">
        <f t="shared" ref="K322:K385" si="29">IF(OR(D322="",G322=""),"",D322*G322)</f>
        <v/>
      </c>
      <c r="L322" s="10" t="str">
        <f>IF(Инвентаризация!C322="","",Инвентаризация!M322)</f>
        <v/>
      </c>
      <c r="M322" s="10" t="str">
        <f>IF(Инвентаризация!C322="","",Инвентаризация!N322)</f>
        <v/>
      </c>
      <c r="N322" s="10" t="str">
        <f>IF(Инвентаризация!C322="","",Инвентаризация!O322)</f>
        <v/>
      </c>
      <c r="O322" s="10" t="str">
        <f>IF(Инвентаризация!C322="","",Инвентаризация!P322)</f>
        <v/>
      </c>
      <c r="P322" s="8" t="str">
        <f>IF(Инвентаризация!C322="","",Инвентаризация!Q322)</f>
        <v/>
      </c>
    </row>
    <row r="323" spans="1:16">
      <c r="A323" s="10" t="str">
        <f>IF(Инвентаризация!C323="","",Инвентаризация!B323)</f>
        <v/>
      </c>
      <c r="B323" s="10" t="str">
        <f>IF(Инвентаризация!C323="","",Инвентаризация!C323)</f>
        <v/>
      </c>
      <c r="C323" s="5" t="str">
        <f>IF(Инвентаризация!C323="","",Инвентаризация!D323)</f>
        <v/>
      </c>
      <c r="D323" s="11" t="str">
        <f>IF(Инвентаризация!C323="","",Инвентаризация!E323)</f>
        <v/>
      </c>
      <c r="E323" s="12" t="str">
        <f>IF(Инвентаризация!C323="","",Инвентаризация!F323)</f>
        <v/>
      </c>
      <c r="F323" s="12" t="str">
        <f>IF(Инвентаризация!C323="","",Инвентаризация!G323)</f>
        <v/>
      </c>
      <c r="G323" s="12" t="str">
        <f t="shared" si="25"/>
        <v/>
      </c>
      <c r="H323" s="13" t="str">
        <f t="shared" si="26"/>
        <v/>
      </c>
      <c r="I323" s="12" t="str">
        <f t="shared" si="27"/>
        <v/>
      </c>
      <c r="J323" s="12" t="str">
        <f t="shared" si="28"/>
        <v/>
      </c>
      <c r="K323" s="12" t="str">
        <f t="shared" si="29"/>
        <v/>
      </c>
      <c r="L323" s="10" t="str">
        <f>IF(Инвентаризация!C323="","",Инвентаризация!M323)</f>
        <v/>
      </c>
      <c r="M323" s="10" t="str">
        <f>IF(Инвентаризация!C323="","",Инвентаризация!N323)</f>
        <v/>
      </c>
      <c r="N323" s="10" t="str">
        <f>IF(Инвентаризация!C323="","",Инвентаризация!O323)</f>
        <v/>
      </c>
      <c r="O323" s="10" t="str">
        <f>IF(Инвентаризация!C323="","",Инвентаризация!P323)</f>
        <v/>
      </c>
      <c r="P323" s="8" t="str">
        <f>IF(Инвентаризация!C323="","",Инвентаризация!Q323)</f>
        <v/>
      </c>
    </row>
    <row r="324" spans="1:16">
      <c r="A324" s="10" t="str">
        <f>IF(Инвентаризация!C324="","",Инвентаризация!B324)</f>
        <v/>
      </c>
      <c r="B324" s="10" t="str">
        <f>IF(Инвентаризация!C324="","",Инвентаризация!C324)</f>
        <v/>
      </c>
      <c r="C324" s="5" t="str">
        <f>IF(Инвентаризация!C324="","",Инвентаризация!D324)</f>
        <v/>
      </c>
      <c r="D324" s="11" t="str">
        <f>IF(Инвентаризация!C324="","",Инвентаризация!E324)</f>
        <v/>
      </c>
      <c r="E324" s="12" t="str">
        <f>IF(Инвентаризация!C324="","",Инвентаризация!F324)</f>
        <v/>
      </c>
      <c r="F324" s="12" t="str">
        <f>IF(Инвентаризация!C324="","",Инвентаризация!G324)</f>
        <v/>
      </c>
      <c r="G324" s="12" t="str">
        <f t="shared" si="25"/>
        <v/>
      </c>
      <c r="H324" s="13" t="str">
        <f t="shared" si="26"/>
        <v/>
      </c>
      <c r="I324" s="12" t="str">
        <f t="shared" si="27"/>
        <v/>
      </c>
      <c r="J324" s="12" t="str">
        <f t="shared" si="28"/>
        <v/>
      </c>
      <c r="K324" s="12" t="str">
        <f t="shared" si="29"/>
        <v/>
      </c>
      <c r="L324" s="10" t="str">
        <f>IF(Инвентаризация!C324="","",Инвентаризация!M324)</f>
        <v/>
      </c>
      <c r="M324" s="10" t="str">
        <f>IF(Инвентаризация!C324="","",Инвентаризация!N324)</f>
        <v/>
      </c>
      <c r="N324" s="10" t="str">
        <f>IF(Инвентаризация!C324="","",Инвентаризация!O324)</f>
        <v/>
      </c>
      <c r="O324" s="10" t="str">
        <f>IF(Инвентаризация!C324="","",Инвентаризация!P324)</f>
        <v/>
      </c>
      <c r="P324" s="8" t="str">
        <f>IF(Инвентаризация!C324="","",Инвентаризация!Q324)</f>
        <v/>
      </c>
    </row>
    <row r="325" spans="1:16">
      <c r="A325" s="10" t="str">
        <f>IF(Инвентаризация!C325="","",Инвентаризация!B325)</f>
        <v/>
      </c>
      <c r="B325" s="10" t="str">
        <f>IF(Инвентаризация!C325="","",Инвентаризация!C325)</f>
        <v/>
      </c>
      <c r="C325" s="5" t="str">
        <f>IF(Инвентаризация!C325="","",Инвентаризация!D325)</f>
        <v/>
      </c>
      <c r="D325" s="11" t="str">
        <f>IF(Инвентаризация!C325="","",Инвентаризация!E325)</f>
        <v/>
      </c>
      <c r="E325" s="12" t="str">
        <f>IF(Инвентаризация!C325="","",Инвентаризация!F325)</f>
        <v/>
      </c>
      <c r="F325" s="12" t="str">
        <f>IF(Инвентаризация!C325="","",Инвентаризация!G325)</f>
        <v/>
      </c>
      <c r="G325" s="12" t="str">
        <f t="shared" si="25"/>
        <v/>
      </c>
      <c r="H325" s="13" t="str">
        <f t="shared" si="26"/>
        <v/>
      </c>
      <c r="I325" s="12" t="str">
        <f t="shared" si="27"/>
        <v/>
      </c>
      <c r="J325" s="12" t="str">
        <f t="shared" si="28"/>
        <v/>
      </c>
      <c r="K325" s="12" t="str">
        <f t="shared" si="29"/>
        <v/>
      </c>
      <c r="L325" s="10" t="str">
        <f>IF(Инвентаризация!C325="","",Инвентаризация!M325)</f>
        <v/>
      </c>
      <c r="M325" s="10" t="str">
        <f>IF(Инвентаризация!C325="","",Инвентаризация!N325)</f>
        <v/>
      </c>
      <c r="N325" s="10" t="str">
        <f>IF(Инвентаризация!C325="","",Инвентаризация!O325)</f>
        <v/>
      </c>
      <c r="O325" s="10" t="str">
        <f>IF(Инвентаризация!C325="","",Инвентаризация!P325)</f>
        <v/>
      </c>
      <c r="P325" s="8" t="str">
        <f>IF(Инвентаризация!C325="","",Инвентаризация!Q325)</f>
        <v/>
      </c>
    </row>
    <row r="326" spans="1:16">
      <c r="A326" s="10" t="str">
        <f>IF(Инвентаризация!C326="","",Инвентаризация!B326)</f>
        <v/>
      </c>
      <c r="B326" s="10" t="str">
        <f>IF(Инвентаризация!C326="","",Инвентаризация!C326)</f>
        <v/>
      </c>
      <c r="C326" s="5" t="str">
        <f>IF(Инвентаризация!C326="","",Инвентаризация!D326)</f>
        <v/>
      </c>
      <c r="D326" s="11" t="str">
        <f>IF(Инвентаризация!C326="","",Инвентаризация!E326)</f>
        <v/>
      </c>
      <c r="E326" s="12" t="str">
        <f>IF(Инвентаризация!C326="","",Инвентаризация!F326)</f>
        <v/>
      </c>
      <c r="F326" s="12" t="str">
        <f>IF(Инвентаризация!C326="","",Инвентаризация!G326)</f>
        <v/>
      </c>
      <c r="G326" s="12" t="str">
        <f t="shared" si="25"/>
        <v/>
      </c>
      <c r="H326" s="13" t="str">
        <f t="shared" si="26"/>
        <v/>
      </c>
      <c r="I326" s="12" t="str">
        <f t="shared" si="27"/>
        <v/>
      </c>
      <c r="J326" s="12" t="str">
        <f t="shared" si="28"/>
        <v/>
      </c>
      <c r="K326" s="12" t="str">
        <f t="shared" si="29"/>
        <v/>
      </c>
      <c r="L326" s="10" t="str">
        <f>IF(Инвентаризация!C326="","",Инвентаризация!M326)</f>
        <v/>
      </c>
      <c r="M326" s="10" t="str">
        <f>IF(Инвентаризация!C326="","",Инвентаризация!N326)</f>
        <v/>
      </c>
      <c r="N326" s="10" t="str">
        <f>IF(Инвентаризация!C326="","",Инвентаризация!O326)</f>
        <v/>
      </c>
      <c r="O326" s="10" t="str">
        <f>IF(Инвентаризация!C326="","",Инвентаризация!P326)</f>
        <v/>
      </c>
      <c r="P326" s="8" t="str">
        <f>IF(Инвентаризация!C326="","",Инвентаризация!Q326)</f>
        <v/>
      </c>
    </row>
    <row r="327" spans="1:16">
      <c r="A327" s="10" t="str">
        <f>IF(Инвентаризация!C327="","",Инвентаризация!B327)</f>
        <v/>
      </c>
      <c r="B327" s="10" t="str">
        <f>IF(Инвентаризация!C327="","",Инвентаризация!C327)</f>
        <v/>
      </c>
      <c r="C327" s="5" t="str">
        <f>IF(Инвентаризация!C327="","",Инвентаризация!D327)</f>
        <v/>
      </c>
      <c r="D327" s="11" t="str">
        <f>IF(Инвентаризация!C327="","",Инвентаризация!E327)</f>
        <v/>
      </c>
      <c r="E327" s="12" t="str">
        <f>IF(Инвентаризация!C327="","",Инвентаризация!F327)</f>
        <v/>
      </c>
      <c r="F327" s="12" t="str">
        <f>IF(Инвентаризация!C327="","",Инвентаризация!G327)</f>
        <v/>
      </c>
      <c r="G327" s="12" t="str">
        <f t="shared" si="25"/>
        <v/>
      </c>
      <c r="H327" s="13" t="str">
        <f t="shared" si="26"/>
        <v/>
      </c>
      <c r="I327" s="12" t="str">
        <f t="shared" si="27"/>
        <v/>
      </c>
      <c r="J327" s="12" t="str">
        <f t="shared" si="28"/>
        <v/>
      </c>
      <c r="K327" s="12" t="str">
        <f t="shared" si="29"/>
        <v/>
      </c>
      <c r="L327" s="10" t="str">
        <f>IF(Инвентаризация!C327="","",Инвентаризация!M327)</f>
        <v/>
      </c>
      <c r="M327" s="10" t="str">
        <f>IF(Инвентаризация!C327="","",Инвентаризация!N327)</f>
        <v/>
      </c>
      <c r="N327" s="10" t="str">
        <f>IF(Инвентаризация!C327="","",Инвентаризация!O327)</f>
        <v/>
      </c>
      <c r="O327" s="10" t="str">
        <f>IF(Инвентаризация!C327="","",Инвентаризация!P327)</f>
        <v/>
      </c>
      <c r="P327" s="8" t="str">
        <f>IF(Инвентаризация!C327="","",Инвентаризация!Q327)</f>
        <v/>
      </c>
    </row>
    <row r="328" spans="1:16">
      <c r="A328" s="10" t="str">
        <f>IF(Инвентаризация!C328="","",Инвентаризация!B328)</f>
        <v/>
      </c>
      <c r="B328" s="10" t="str">
        <f>IF(Инвентаризация!C328="","",Инвентаризация!C328)</f>
        <v/>
      </c>
      <c r="C328" s="5" t="str">
        <f>IF(Инвентаризация!C328="","",Инвентаризация!D328)</f>
        <v/>
      </c>
      <c r="D328" s="11" t="str">
        <f>IF(Инвентаризация!C328="","",Инвентаризация!E328)</f>
        <v/>
      </c>
      <c r="E328" s="12" t="str">
        <f>IF(Инвентаризация!C328="","",Инвентаризация!F328)</f>
        <v/>
      </c>
      <c r="F328" s="12" t="str">
        <f>IF(Инвентаризация!C328="","",Инвентаризация!G328)</f>
        <v/>
      </c>
      <c r="G328" s="12" t="str">
        <f t="shared" si="25"/>
        <v/>
      </c>
      <c r="H328" s="13" t="str">
        <f t="shared" si="26"/>
        <v/>
      </c>
      <c r="I328" s="12" t="str">
        <f t="shared" si="27"/>
        <v/>
      </c>
      <c r="J328" s="12" t="str">
        <f t="shared" si="28"/>
        <v/>
      </c>
      <c r="K328" s="12" t="str">
        <f t="shared" si="29"/>
        <v/>
      </c>
      <c r="L328" s="10" t="str">
        <f>IF(Инвентаризация!C328="","",Инвентаризация!M328)</f>
        <v/>
      </c>
      <c r="M328" s="10" t="str">
        <f>IF(Инвентаризация!C328="","",Инвентаризация!N328)</f>
        <v/>
      </c>
      <c r="N328" s="10" t="str">
        <f>IF(Инвентаризация!C328="","",Инвентаризация!O328)</f>
        <v/>
      </c>
      <c r="O328" s="10" t="str">
        <f>IF(Инвентаризация!C328="","",Инвентаризация!P328)</f>
        <v/>
      </c>
      <c r="P328" s="8" t="str">
        <f>IF(Инвентаризация!C328="","",Инвентаризация!Q328)</f>
        <v/>
      </c>
    </row>
    <row r="329" spans="1:16">
      <c r="A329" s="10" t="str">
        <f>IF(Инвентаризация!C329="","",Инвентаризация!B329)</f>
        <v/>
      </c>
      <c r="B329" s="10" t="str">
        <f>IF(Инвентаризация!C329="","",Инвентаризация!C329)</f>
        <v/>
      </c>
      <c r="C329" s="5" t="str">
        <f>IF(Инвентаризация!C329="","",Инвентаризация!D329)</f>
        <v/>
      </c>
      <c r="D329" s="11" t="str">
        <f>IF(Инвентаризация!C329="","",Инвентаризация!E329)</f>
        <v/>
      </c>
      <c r="E329" s="12" t="str">
        <f>IF(Инвентаризация!C329="","",Инвентаризация!F329)</f>
        <v/>
      </c>
      <c r="F329" s="12" t="str">
        <f>IF(Инвентаризация!C329="","",Инвентаризация!G329)</f>
        <v/>
      </c>
      <c r="G329" s="12" t="str">
        <f t="shared" si="25"/>
        <v/>
      </c>
      <c r="H329" s="13" t="str">
        <f t="shared" si="26"/>
        <v/>
      </c>
      <c r="I329" s="12" t="str">
        <f t="shared" si="27"/>
        <v/>
      </c>
      <c r="J329" s="12" t="str">
        <f t="shared" si="28"/>
        <v/>
      </c>
      <c r="K329" s="12" t="str">
        <f t="shared" si="29"/>
        <v/>
      </c>
      <c r="L329" s="10" t="str">
        <f>IF(Инвентаризация!C329="","",Инвентаризация!M329)</f>
        <v/>
      </c>
      <c r="M329" s="10" t="str">
        <f>IF(Инвентаризация!C329="","",Инвентаризация!N329)</f>
        <v/>
      </c>
      <c r="N329" s="10" t="str">
        <f>IF(Инвентаризация!C329="","",Инвентаризация!O329)</f>
        <v/>
      </c>
      <c r="O329" s="10" t="str">
        <f>IF(Инвентаризация!C329="","",Инвентаризация!P329)</f>
        <v/>
      </c>
      <c r="P329" s="8" t="str">
        <f>IF(Инвентаризация!C329="","",Инвентаризация!Q329)</f>
        <v/>
      </c>
    </row>
    <row r="330" spans="1:16">
      <c r="A330" s="10" t="str">
        <f>IF(Инвентаризация!C330="","",Инвентаризация!B330)</f>
        <v/>
      </c>
      <c r="B330" s="10" t="str">
        <f>IF(Инвентаризация!C330="","",Инвентаризация!C330)</f>
        <v/>
      </c>
      <c r="C330" s="5" t="str">
        <f>IF(Инвентаризация!C330="","",Инвентаризация!D330)</f>
        <v/>
      </c>
      <c r="D330" s="11" t="str">
        <f>IF(Инвентаризация!C330="","",Инвентаризация!E330)</f>
        <v/>
      </c>
      <c r="E330" s="12" t="str">
        <f>IF(Инвентаризация!C330="","",Инвентаризация!F330)</f>
        <v/>
      </c>
      <c r="F330" s="12" t="str">
        <f>IF(Инвентаризация!C330="","",Инвентаризация!G330)</f>
        <v/>
      </c>
      <c r="G330" s="12" t="str">
        <f t="shared" si="25"/>
        <v/>
      </c>
      <c r="H330" s="13" t="str">
        <f t="shared" si="26"/>
        <v/>
      </c>
      <c r="I330" s="12" t="str">
        <f t="shared" si="27"/>
        <v/>
      </c>
      <c r="J330" s="12" t="str">
        <f t="shared" si="28"/>
        <v/>
      </c>
      <c r="K330" s="12" t="str">
        <f t="shared" si="29"/>
        <v/>
      </c>
      <c r="L330" s="10" t="str">
        <f>IF(Инвентаризация!C330="","",Инвентаризация!M330)</f>
        <v/>
      </c>
      <c r="M330" s="10" t="str">
        <f>IF(Инвентаризация!C330="","",Инвентаризация!N330)</f>
        <v/>
      </c>
      <c r="N330" s="10" t="str">
        <f>IF(Инвентаризация!C330="","",Инвентаризация!O330)</f>
        <v/>
      </c>
      <c r="O330" s="10" t="str">
        <f>IF(Инвентаризация!C330="","",Инвентаризация!P330)</f>
        <v/>
      </c>
      <c r="P330" s="8" t="str">
        <f>IF(Инвентаризация!C330="","",Инвентаризация!Q330)</f>
        <v/>
      </c>
    </row>
    <row r="331" spans="1:16">
      <c r="A331" s="10" t="str">
        <f>IF(Инвентаризация!C331="","",Инвентаризация!B331)</f>
        <v/>
      </c>
      <c r="B331" s="10" t="str">
        <f>IF(Инвентаризация!C331="","",Инвентаризация!C331)</f>
        <v/>
      </c>
      <c r="C331" s="5" t="str">
        <f>IF(Инвентаризация!C331="","",Инвентаризация!D331)</f>
        <v/>
      </c>
      <c r="D331" s="11" t="str">
        <f>IF(Инвентаризация!C331="","",Инвентаризация!E331)</f>
        <v/>
      </c>
      <c r="E331" s="12" t="str">
        <f>IF(Инвентаризация!C331="","",Инвентаризация!F331)</f>
        <v/>
      </c>
      <c r="F331" s="12" t="str">
        <f>IF(Инвентаризация!C331="","",Инвентаризация!G331)</f>
        <v/>
      </c>
      <c r="G331" s="12" t="str">
        <f t="shared" si="25"/>
        <v/>
      </c>
      <c r="H331" s="13" t="str">
        <f t="shared" si="26"/>
        <v/>
      </c>
      <c r="I331" s="12" t="str">
        <f t="shared" si="27"/>
        <v/>
      </c>
      <c r="J331" s="12" t="str">
        <f t="shared" si="28"/>
        <v/>
      </c>
      <c r="K331" s="12" t="str">
        <f t="shared" si="29"/>
        <v/>
      </c>
      <c r="L331" s="10" t="str">
        <f>IF(Инвентаризация!C331="","",Инвентаризация!M331)</f>
        <v/>
      </c>
      <c r="M331" s="10" t="str">
        <f>IF(Инвентаризация!C331="","",Инвентаризация!N331)</f>
        <v/>
      </c>
      <c r="N331" s="10" t="str">
        <f>IF(Инвентаризация!C331="","",Инвентаризация!O331)</f>
        <v/>
      </c>
      <c r="O331" s="10" t="str">
        <f>IF(Инвентаризация!C331="","",Инвентаризация!P331)</f>
        <v/>
      </c>
      <c r="P331" s="8" t="str">
        <f>IF(Инвентаризация!C331="","",Инвентаризация!Q331)</f>
        <v/>
      </c>
    </row>
    <row r="332" spans="1:16">
      <c r="A332" s="10" t="str">
        <f>IF(Инвентаризация!C332="","",Инвентаризация!B332)</f>
        <v/>
      </c>
      <c r="B332" s="10" t="str">
        <f>IF(Инвентаризация!C332="","",Инвентаризация!C332)</f>
        <v/>
      </c>
      <c r="C332" s="5" t="str">
        <f>IF(Инвентаризация!C332="","",Инвентаризация!D332)</f>
        <v/>
      </c>
      <c r="D332" s="11" t="str">
        <f>IF(Инвентаризация!C332="","",Инвентаризация!E332)</f>
        <v/>
      </c>
      <c r="E332" s="12" t="str">
        <f>IF(Инвентаризация!C332="","",Инвентаризация!F332)</f>
        <v/>
      </c>
      <c r="F332" s="12" t="str">
        <f>IF(Инвентаризация!C332="","",Инвентаризация!G332)</f>
        <v/>
      </c>
      <c r="G332" s="12" t="str">
        <f t="shared" si="25"/>
        <v/>
      </c>
      <c r="H332" s="13" t="str">
        <f t="shared" si="26"/>
        <v/>
      </c>
      <c r="I332" s="12" t="str">
        <f t="shared" si="27"/>
        <v/>
      </c>
      <c r="J332" s="12" t="str">
        <f t="shared" si="28"/>
        <v/>
      </c>
      <c r="K332" s="12" t="str">
        <f t="shared" si="29"/>
        <v/>
      </c>
      <c r="L332" s="10" t="str">
        <f>IF(Инвентаризация!C332="","",Инвентаризация!M332)</f>
        <v/>
      </c>
      <c r="M332" s="10" t="str">
        <f>IF(Инвентаризация!C332="","",Инвентаризация!N332)</f>
        <v/>
      </c>
      <c r="N332" s="10" t="str">
        <f>IF(Инвентаризация!C332="","",Инвентаризация!O332)</f>
        <v/>
      </c>
      <c r="O332" s="10" t="str">
        <f>IF(Инвентаризация!C332="","",Инвентаризация!P332)</f>
        <v/>
      </c>
      <c r="P332" s="8" t="str">
        <f>IF(Инвентаризация!C332="","",Инвентаризация!Q332)</f>
        <v/>
      </c>
    </row>
    <row r="333" spans="1:16">
      <c r="A333" s="10" t="str">
        <f>IF(Инвентаризация!C333="","",Инвентаризация!B333)</f>
        <v/>
      </c>
      <c r="B333" s="10" t="str">
        <f>IF(Инвентаризация!C333="","",Инвентаризация!C333)</f>
        <v/>
      </c>
      <c r="C333" s="5" t="str">
        <f>IF(Инвентаризация!C333="","",Инвентаризация!D333)</f>
        <v/>
      </c>
      <c r="D333" s="11" t="str">
        <f>IF(Инвентаризация!C333="","",Инвентаризация!E333)</f>
        <v/>
      </c>
      <c r="E333" s="12" t="str">
        <f>IF(Инвентаризация!C333="","",Инвентаризация!F333)</f>
        <v/>
      </c>
      <c r="F333" s="12" t="str">
        <f>IF(Инвентаризация!C333="","",Инвентаризация!G333)</f>
        <v/>
      </c>
      <c r="G333" s="12" t="str">
        <f t="shared" si="25"/>
        <v/>
      </c>
      <c r="H333" s="13" t="str">
        <f t="shared" si="26"/>
        <v/>
      </c>
      <c r="I333" s="12" t="str">
        <f t="shared" si="27"/>
        <v/>
      </c>
      <c r="J333" s="12" t="str">
        <f t="shared" si="28"/>
        <v/>
      </c>
      <c r="K333" s="12" t="str">
        <f t="shared" si="29"/>
        <v/>
      </c>
      <c r="L333" s="10" t="str">
        <f>IF(Инвентаризация!C333="","",Инвентаризация!M333)</f>
        <v/>
      </c>
      <c r="M333" s="10" t="str">
        <f>IF(Инвентаризация!C333="","",Инвентаризация!N333)</f>
        <v/>
      </c>
      <c r="N333" s="10" t="str">
        <f>IF(Инвентаризация!C333="","",Инвентаризация!O333)</f>
        <v/>
      </c>
      <c r="O333" s="10" t="str">
        <f>IF(Инвентаризация!C333="","",Инвентаризация!P333)</f>
        <v/>
      </c>
      <c r="P333" s="8" t="str">
        <f>IF(Инвентаризация!C333="","",Инвентаризация!Q333)</f>
        <v/>
      </c>
    </row>
    <row r="334" spans="1:16">
      <c r="A334" s="10" t="str">
        <f>IF(Инвентаризация!C334="","",Инвентаризация!B334)</f>
        <v/>
      </c>
      <c r="B334" s="10" t="str">
        <f>IF(Инвентаризация!C334="","",Инвентаризация!C334)</f>
        <v/>
      </c>
      <c r="C334" s="5" t="str">
        <f>IF(Инвентаризация!C334="","",Инвентаризация!D334)</f>
        <v/>
      </c>
      <c r="D334" s="11" t="str">
        <f>IF(Инвентаризация!C334="","",Инвентаризация!E334)</f>
        <v/>
      </c>
      <c r="E334" s="12" t="str">
        <f>IF(Инвентаризация!C334="","",Инвентаризация!F334)</f>
        <v/>
      </c>
      <c r="F334" s="12" t="str">
        <f>IF(Инвентаризация!C334="","",Инвентаризация!G334)</f>
        <v/>
      </c>
      <c r="G334" s="12" t="str">
        <f t="shared" si="25"/>
        <v/>
      </c>
      <c r="H334" s="13" t="str">
        <f t="shared" si="26"/>
        <v/>
      </c>
      <c r="I334" s="12" t="str">
        <f t="shared" si="27"/>
        <v/>
      </c>
      <c r="J334" s="12" t="str">
        <f t="shared" si="28"/>
        <v/>
      </c>
      <c r="K334" s="12" t="str">
        <f t="shared" si="29"/>
        <v/>
      </c>
      <c r="L334" s="10" t="str">
        <f>IF(Инвентаризация!C334="","",Инвентаризация!M334)</f>
        <v/>
      </c>
      <c r="M334" s="10" t="str">
        <f>IF(Инвентаризация!C334="","",Инвентаризация!N334)</f>
        <v/>
      </c>
      <c r="N334" s="10" t="str">
        <f>IF(Инвентаризация!C334="","",Инвентаризация!O334)</f>
        <v/>
      </c>
      <c r="O334" s="10" t="str">
        <f>IF(Инвентаризация!C334="","",Инвентаризация!P334)</f>
        <v/>
      </c>
      <c r="P334" s="8" t="str">
        <f>IF(Инвентаризация!C334="","",Инвентаризация!Q334)</f>
        <v/>
      </c>
    </row>
    <row r="335" spans="1:16">
      <c r="A335" s="10" t="str">
        <f>IF(Инвентаризация!C335="","",Инвентаризация!B335)</f>
        <v/>
      </c>
      <c r="B335" s="10" t="str">
        <f>IF(Инвентаризация!C335="","",Инвентаризация!C335)</f>
        <v/>
      </c>
      <c r="C335" s="5" t="str">
        <f>IF(Инвентаризация!C335="","",Инвентаризация!D335)</f>
        <v/>
      </c>
      <c r="D335" s="11" t="str">
        <f>IF(Инвентаризация!C335="","",Инвентаризация!E335)</f>
        <v/>
      </c>
      <c r="E335" s="12" t="str">
        <f>IF(Инвентаризация!C335="","",Инвентаризация!F335)</f>
        <v/>
      </c>
      <c r="F335" s="12" t="str">
        <f>IF(Инвентаризация!C335="","",Инвентаризация!G335)</f>
        <v/>
      </c>
      <c r="G335" s="12" t="str">
        <f t="shared" si="25"/>
        <v/>
      </c>
      <c r="H335" s="13" t="str">
        <f t="shared" si="26"/>
        <v/>
      </c>
      <c r="I335" s="12" t="str">
        <f t="shared" si="27"/>
        <v/>
      </c>
      <c r="J335" s="12" t="str">
        <f t="shared" si="28"/>
        <v/>
      </c>
      <c r="K335" s="12" t="str">
        <f t="shared" si="29"/>
        <v/>
      </c>
      <c r="L335" s="10" t="str">
        <f>IF(Инвентаризация!C335="","",Инвентаризация!M335)</f>
        <v/>
      </c>
      <c r="M335" s="10" t="str">
        <f>IF(Инвентаризация!C335="","",Инвентаризация!N335)</f>
        <v/>
      </c>
      <c r="N335" s="10" t="str">
        <f>IF(Инвентаризация!C335="","",Инвентаризация!O335)</f>
        <v/>
      </c>
      <c r="O335" s="10" t="str">
        <f>IF(Инвентаризация!C335="","",Инвентаризация!P335)</f>
        <v/>
      </c>
      <c r="P335" s="8" t="str">
        <f>IF(Инвентаризация!C335="","",Инвентаризация!Q335)</f>
        <v/>
      </c>
    </row>
    <row r="336" spans="1:16">
      <c r="A336" s="10" t="str">
        <f>IF(Инвентаризация!C336="","",Инвентаризация!B336)</f>
        <v/>
      </c>
      <c r="B336" s="10" t="str">
        <f>IF(Инвентаризация!C336="","",Инвентаризация!C336)</f>
        <v/>
      </c>
      <c r="C336" s="5" t="str">
        <f>IF(Инвентаризация!C336="","",Инвентаризация!D336)</f>
        <v/>
      </c>
      <c r="D336" s="11" t="str">
        <f>IF(Инвентаризация!C336="","",Инвентаризация!E336)</f>
        <v/>
      </c>
      <c r="E336" s="12" t="str">
        <f>IF(Инвентаризация!C336="","",Инвентаризация!F336)</f>
        <v/>
      </c>
      <c r="F336" s="12" t="str">
        <f>IF(Инвентаризация!C336="","",Инвентаризация!G336)</f>
        <v/>
      </c>
      <c r="G336" s="12" t="str">
        <f t="shared" si="25"/>
        <v/>
      </c>
      <c r="H336" s="13" t="str">
        <f t="shared" si="26"/>
        <v/>
      </c>
      <c r="I336" s="12" t="str">
        <f t="shared" si="27"/>
        <v/>
      </c>
      <c r="J336" s="12" t="str">
        <f t="shared" si="28"/>
        <v/>
      </c>
      <c r="K336" s="12" t="str">
        <f t="shared" si="29"/>
        <v/>
      </c>
      <c r="L336" s="10" t="str">
        <f>IF(Инвентаризация!C336="","",Инвентаризация!M336)</f>
        <v/>
      </c>
      <c r="M336" s="10" t="str">
        <f>IF(Инвентаризация!C336="","",Инвентаризация!N336)</f>
        <v/>
      </c>
      <c r="N336" s="10" t="str">
        <f>IF(Инвентаризация!C336="","",Инвентаризация!O336)</f>
        <v/>
      </c>
      <c r="O336" s="10" t="str">
        <f>IF(Инвентаризация!C336="","",Инвентаризация!P336)</f>
        <v/>
      </c>
      <c r="P336" s="8" t="str">
        <f>IF(Инвентаризация!C336="","",Инвентаризация!Q336)</f>
        <v/>
      </c>
    </row>
    <row r="337" spans="1:16">
      <c r="A337" s="10" t="str">
        <f>IF(Инвентаризация!C337="","",Инвентаризация!B337)</f>
        <v/>
      </c>
      <c r="B337" s="10" t="str">
        <f>IF(Инвентаризация!C337="","",Инвентаризация!C337)</f>
        <v/>
      </c>
      <c r="C337" s="5" t="str">
        <f>IF(Инвентаризация!C337="","",Инвентаризация!D337)</f>
        <v/>
      </c>
      <c r="D337" s="11" t="str">
        <f>IF(Инвентаризация!C337="","",Инвентаризация!E337)</f>
        <v/>
      </c>
      <c r="E337" s="12" t="str">
        <f>IF(Инвентаризация!C337="","",Инвентаризация!F337)</f>
        <v/>
      </c>
      <c r="F337" s="12" t="str">
        <f>IF(Инвентаризация!C337="","",Инвентаризация!G337)</f>
        <v/>
      </c>
      <c r="G337" s="12" t="str">
        <f t="shared" si="25"/>
        <v/>
      </c>
      <c r="H337" s="13" t="str">
        <f t="shared" si="26"/>
        <v/>
      </c>
      <c r="I337" s="12" t="str">
        <f t="shared" si="27"/>
        <v/>
      </c>
      <c r="J337" s="12" t="str">
        <f t="shared" si="28"/>
        <v/>
      </c>
      <c r="K337" s="12" t="str">
        <f t="shared" si="29"/>
        <v/>
      </c>
      <c r="L337" s="10" t="str">
        <f>IF(Инвентаризация!C337="","",Инвентаризация!M337)</f>
        <v/>
      </c>
      <c r="M337" s="10" t="str">
        <f>IF(Инвентаризация!C337="","",Инвентаризация!N337)</f>
        <v/>
      </c>
      <c r="N337" s="10" t="str">
        <f>IF(Инвентаризация!C337="","",Инвентаризация!O337)</f>
        <v/>
      </c>
      <c r="O337" s="10" t="str">
        <f>IF(Инвентаризация!C337="","",Инвентаризация!P337)</f>
        <v/>
      </c>
      <c r="P337" s="8" t="str">
        <f>IF(Инвентаризация!C337="","",Инвентаризация!Q337)</f>
        <v/>
      </c>
    </row>
    <row r="338" spans="1:16">
      <c r="A338" s="10" t="str">
        <f>IF(Инвентаризация!C338="","",Инвентаризация!B338)</f>
        <v/>
      </c>
      <c r="B338" s="10" t="str">
        <f>IF(Инвентаризация!C338="","",Инвентаризация!C338)</f>
        <v/>
      </c>
      <c r="C338" s="5" t="str">
        <f>IF(Инвентаризация!C338="","",Инвентаризация!D338)</f>
        <v/>
      </c>
      <c r="D338" s="11" t="str">
        <f>IF(Инвентаризация!C338="","",Инвентаризация!E338)</f>
        <v/>
      </c>
      <c r="E338" s="12" t="str">
        <f>IF(Инвентаризация!C338="","",Инвентаризация!F338)</f>
        <v/>
      </c>
      <c r="F338" s="12" t="str">
        <f>IF(Инвентаризация!C338="","",Инвентаризация!G338)</f>
        <v/>
      </c>
      <c r="G338" s="12" t="str">
        <f t="shared" si="25"/>
        <v/>
      </c>
      <c r="H338" s="13" t="str">
        <f t="shared" si="26"/>
        <v/>
      </c>
      <c r="I338" s="12" t="str">
        <f t="shared" si="27"/>
        <v/>
      </c>
      <c r="J338" s="12" t="str">
        <f t="shared" si="28"/>
        <v/>
      </c>
      <c r="K338" s="12" t="str">
        <f t="shared" si="29"/>
        <v/>
      </c>
      <c r="L338" s="10" t="str">
        <f>IF(Инвентаризация!C338="","",Инвентаризация!M338)</f>
        <v/>
      </c>
      <c r="M338" s="10" t="str">
        <f>IF(Инвентаризация!C338="","",Инвентаризация!N338)</f>
        <v/>
      </c>
      <c r="N338" s="10" t="str">
        <f>IF(Инвентаризация!C338="","",Инвентаризация!O338)</f>
        <v/>
      </c>
      <c r="O338" s="10" t="str">
        <f>IF(Инвентаризация!C338="","",Инвентаризация!P338)</f>
        <v/>
      </c>
      <c r="P338" s="8" t="str">
        <f>IF(Инвентаризация!C338="","",Инвентаризация!Q338)</f>
        <v/>
      </c>
    </row>
    <row r="339" spans="1:16">
      <c r="A339" s="10" t="str">
        <f>IF(Инвентаризация!C339="","",Инвентаризация!B339)</f>
        <v/>
      </c>
      <c r="B339" s="10" t="str">
        <f>IF(Инвентаризация!C339="","",Инвентаризация!C339)</f>
        <v/>
      </c>
      <c r="C339" s="5" t="str">
        <f>IF(Инвентаризация!C339="","",Инвентаризация!D339)</f>
        <v/>
      </c>
      <c r="D339" s="11" t="str">
        <f>IF(Инвентаризация!C339="","",Инвентаризация!E339)</f>
        <v/>
      </c>
      <c r="E339" s="12" t="str">
        <f>IF(Инвентаризация!C339="","",Инвентаризация!F339)</f>
        <v/>
      </c>
      <c r="F339" s="12" t="str">
        <f>IF(Инвентаризация!C339="","",Инвентаризация!G339)</f>
        <v/>
      </c>
      <c r="G339" s="12" t="str">
        <f t="shared" si="25"/>
        <v/>
      </c>
      <c r="H339" s="13" t="str">
        <f t="shared" si="26"/>
        <v/>
      </c>
      <c r="I339" s="12" t="str">
        <f t="shared" si="27"/>
        <v/>
      </c>
      <c r="J339" s="12" t="str">
        <f t="shared" si="28"/>
        <v/>
      </c>
      <c r="K339" s="12" t="str">
        <f t="shared" si="29"/>
        <v/>
      </c>
      <c r="L339" s="10" t="str">
        <f>IF(Инвентаризация!C339="","",Инвентаризация!M339)</f>
        <v/>
      </c>
      <c r="M339" s="10" t="str">
        <f>IF(Инвентаризация!C339="","",Инвентаризация!N339)</f>
        <v/>
      </c>
      <c r="N339" s="10" t="str">
        <f>IF(Инвентаризация!C339="","",Инвентаризация!O339)</f>
        <v/>
      </c>
      <c r="O339" s="10" t="str">
        <f>IF(Инвентаризация!C339="","",Инвентаризация!P339)</f>
        <v/>
      </c>
      <c r="P339" s="8" t="str">
        <f>IF(Инвентаризация!C339="","",Инвентаризация!Q339)</f>
        <v/>
      </c>
    </row>
    <row r="340" spans="1:16">
      <c r="A340" s="10" t="str">
        <f>IF(Инвентаризация!C340="","",Инвентаризация!B340)</f>
        <v/>
      </c>
      <c r="B340" s="10" t="str">
        <f>IF(Инвентаризация!C340="","",Инвентаризация!C340)</f>
        <v/>
      </c>
      <c r="C340" s="5" t="str">
        <f>IF(Инвентаризация!C340="","",Инвентаризация!D340)</f>
        <v/>
      </c>
      <c r="D340" s="11" t="str">
        <f>IF(Инвентаризация!C340="","",Инвентаризация!E340)</f>
        <v/>
      </c>
      <c r="E340" s="12" t="str">
        <f>IF(Инвентаризация!C340="","",Инвентаризация!F340)</f>
        <v/>
      </c>
      <c r="F340" s="12" t="str">
        <f>IF(Инвентаризация!C340="","",Инвентаризация!G340)</f>
        <v/>
      </c>
      <c r="G340" s="12" t="str">
        <f t="shared" si="25"/>
        <v/>
      </c>
      <c r="H340" s="13" t="str">
        <f t="shared" si="26"/>
        <v/>
      </c>
      <c r="I340" s="12" t="str">
        <f t="shared" si="27"/>
        <v/>
      </c>
      <c r="J340" s="12" t="str">
        <f t="shared" si="28"/>
        <v/>
      </c>
      <c r="K340" s="12" t="str">
        <f t="shared" si="29"/>
        <v/>
      </c>
      <c r="L340" s="10" t="str">
        <f>IF(Инвентаризация!C340="","",Инвентаризация!M340)</f>
        <v/>
      </c>
      <c r="M340" s="10" t="str">
        <f>IF(Инвентаризация!C340="","",Инвентаризация!N340)</f>
        <v/>
      </c>
      <c r="N340" s="10" t="str">
        <f>IF(Инвентаризация!C340="","",Инвентаризация!O340)</f>
        <v/>
      </c>
      <c r="O340" s="10" t="str">
        <f>IF(Инвентаризация!C340="","",Инвентаризация!P340)</f>
        <v/>
      </c>
      <c r="P340" s="8" t="str">
        <f>IF(Инвентаризация!C340="","",Инвентаризация!Q340)</f>
        <v/>
      </c>
    </row>
    <row r="341" spans="1:16">
      <c r="A341" s="10" t="str">
        <f>IF(Инвентаризация!C341="","",Инвентаризация!B341)</f>
        <v/>
      </c>
      <c r="B341" s="10" t="str">
        <f>IF(Инвентаризация!C341="","",Инвентаризация!C341)</f>
        <v/>
      </c>
      <c r="C341" s="5" t="str">
        <f>IF(Инвентаризация!C341="","",Инвентаризация!D341)</f>
        <v/>
      </c>
      <c r="D341" s="11" t="str">
        <f>IF(Инвентаризация!C341="","",Инвентаризация!E341)</f>
        <v/>
      </c>
      <c r="E341" s="12" t="str">
        <f>IF(Инвентаризация!C341="","",Инвентаризация!F341)</f>
        <v/>
      </c>
      <c r="F341" s="12" t="str">
        <f>IF(Инвентаризация!C341="","",Инвентаризация!G341)</f>
        <v/>
      </c>
      <c r="G341" s="12" t="str">
        <f t="shared" si="25"/>
        <v/>
      </c>
      <c r="H341" s="13" t="str">
        <f t="shared" si="26"/>
        <v/>
      </c>
      <c r="I341" s="12" t="str">
        <f t="shared" si="27"/>
        <v/>
      </c>
      <c r="J341" s="12" t="str">
        <f t="shared" si="28"/>
        <v/>
      </c>
      <c r="K341" s="12" t="str">
        <f t="shared" si="29"/>
        <v/>
      </c>
      <c r="L341" s="10" t="str">
        <f>IF(Инвентаризация!C341="","",Инвентаризация!M341)</f>
        <v/>
      </c>
      <c r="M341" s="10" t="str">
        <f>IF(Инвентаризация!C341="","",Инвентаризация!N341)</f>
        <v/>
      </c>
      <c r="N341" s="10" t="str">
        <f>IF(Инвентаризация!C341="","",Инвентаризация!O341)</f>
        <v/>
      </c>
      <c r="O341" s="10" t="str">
        <f>IF(Инвентаризация!C341="","",Инвентаризация!P341)</f>
        <v/>
      </c>
      <c r="P341" s="8" t="str">
        <f>IF(Инвентаризация!C341="","",Инвентаризация!Q341)</f>
        <v/>
      </c>
    </row>
    <row r="342" spans="1:16">
      <c r="A342" s="10" t="str">
        <f>IF(Инвентаризация!C342="","",Инвентаризация!B342)</f>
        <v/>
      </c>
      <c r="B342" s="10" t="str">
        <f>IF(Инвентаризация!C342="","",Инвентаризация!C342)</f>
        <v/>
      </c>
      <c r="C342" s="5" t="str">
        <f>IF(Инвентаризация!C342="","",Инвентаризация!D342)</f>
        <v/>
      </c>
      <c r="D342" s="11" t="str">
        <f>IF(Инвентаризация!C342="","",Инвентаризация!E342)</f>
        <v/>
      </c>
      <c r="E342" s="12" t="str">
        <f>IF(Инвентаризация!C342="","",Инвентаризация!F342)</f>
        <v/>
      </c>
      <c r="F342" s="12" t="str">
        <f>IF(Инвентаризация!C342="","",Инвентаризация!G342)</f>
        <v/>
      </c>
      <c r="G342" s="12" t="str">
        <f t="shared" si="25"/>
        <v/>
      </c>
      <c r="H342" s="13" t="str">
        <f t="shared" si="26"/>
        <v/>
      </c>
      <c r="I342" s="12" t="str">
        <f t="shared" si="27"/>
        <v/>
      </c>
      <c r="J342" s="12" t="str">
        <f t="shared" si="28"/>
        <v/>
      </c>
      <c r="K342" s="12" t="str">
        <f t="shared" si="29"/>
        <v/>
      </c>
      <c r="L342" s="10" t="str">
        <f>IF(Инвентаризация!C342="","",Инвентаризация!M342)</f>
        <v/>
      </c>
      <c r="M342" s="10" t="str">
        <f>IF(Инвентаризация!C342="","",Инвентаризация!N342)</f>
        <v/>
      </c>
      <c r="N342" s="10" t="str">
        <f>IF(Инвентаризация!C342="","",Инвентаризация!O342)</f>
        <v/>
      </c>
      <c r="O342" s="10" t="str">
        <f>IF(Инвентаризация!C342="","",Инвентаризация!P342)</f>
        <v/>
      </c>
      <c r="P342" s="8" t="str">
        <f>IF(Инвентаризация!C342="","",Инвентаризация!Q342)</f>
        <v/>
      </c>
    </row>
    <row r="343" spans="1:16">
      <c r="A343" s="10" t="str">
        <f>IF(Инвентаризация!C343="","",Инвентаризация!B343)</f>
        <v/>
      </c>
      <c r="B343" s="10" t="str">
        <f>IF(Инвентаризация!C343="","",Инвентаризация!C343)</f>
        <v/>
      </c>
      <c r="C343" s="5" t="str">
        <f>IF(Инвентаризация!C343="","",Инвентаризация!D343)</f>
        <v/>
      </c>
      <c r="D343" s="11" t="str">
        <f>IF(Инвентаризация!C343="","",Инвентаризация!E343)</f>
        <v/>
      </c>
      <c r="E343" s="12" t="str">
        <f>IF(Инвентаризация!C343="","",Инвентаризация!F343)</f>
        <v/>
      </c>
      <c r="F343" s="12" t="str">
        <f>IF(Инвентаризация!C343="","",Инвентаризация!G343)</f>
        <v/>
      </c>
      <c r="G343" s="12" t="str">
        <f t="shared" si="25"/>
        <v/>
      </c>
      <c r="H343" s="13" t="str">
        <f t="shared" si="26"/>
        <v/>
      </c>
      <c r="I343" s="12" t="str">
        <f t="shared" si="27"/>
        <v/>
      </c>
      <c r="J343" s="12" t="str">
        <f t="shared" si="28"/>
        <v/>
      </c>
      <c r="K343" s="12" t="str">
        <f t="shared" si="29"/>
        <v/>
      </c>
      <c r="L343" s="10" t="str">
        <f>IF(Инвентаризация!C343="","",Инвентаризация!M343)</f>
        <v/>
      </c>
      <c r="M343" s="10" t="str">
        <f>IF(Инвентаризация!C343="","",Инвентаризация!N343)</f>
        <v/>
      </c>
      <c r="N343" s="10" t="str">
        <f>IF(Инвентаризация!C343="","",Инвентаризация!O343)</f>
        <v/>
      </c>
      <c r="O343" s="10" t="str">
        <f>IF(Инвентаризация!C343="","",Инвентаризация!P343)</f>
        <v/>
      </c>
      <c r="P343" s="8" t="str">
        <f>IF(Инвентаризация!C343="","",Инвентаризация!Q343)</f>
        <v/>
      </c>
    </row>
    <row r="344" spans="1:16">
      <c r="A344" s="10" t="str">
        <f>IF(Инвентаризация!C344="","",Инвентаризация!B344)</f>
        <v/>
      </c>
      <c r="B344" s="10" t="str">
        <f>IF(Инвентаризация!C344="","",Инвентаризация!C344)</f>
        <v/>
      </c>
      <c r="C344" s="5" t="str">
        <f>IF(Инвентаризация!C344="","",Инвентаризация!D344)</f>
        <v/>
      </c>
      <c r="D344" s="11" t="str">
        <f>IF(Инвентаризация!C344="","",Инвентаризация!E344)</f>
        <v/>
      </c>
      <c r="E344" s="12" t="str">
        <f>IF(Инвентаризация!C344="","",Инвентаризация!F344)</f>
        <v/>
      </c>
      <c r="F344" s="12" t="str">
        <f>IF(Инвентаризация!C344="","",Инвентаризация!G344)</f>
        <v/>
      </c>
      <c r="G344" s="12" t="str">
        <f t="shared" si="25"/>
        <v/>
      </c>
      <c r="H344" s="13" t="str">
        <f t="shared" si="26"/>
        <v/>
      </c>
      <c r="I344" s="12" t="str">
        <f t="shared" si="27"/>
        <v/>
      </c>
      <c r="J344" s="12" t="str">
        <f t="shared" si="28"/>
        <v/>
      </c>
      <c r="K344" s="12" t="str">
        <f t="shared" si="29"/>
        <v/>
      </c>
      <c r="L344" s="10" t="str">
        <f>IF(Инвентаризация!C344="","",Инвентаризация!M344)</f>
        <v/>
      </c>
      <c r="M344" s="10" t="str">
        <f>IF(Инвентаризация!C344="","",Инвентаризация!N344)</f>
        <v/>
      </c>
      <c r="N344" s="10" t="str">
        <f>IF(Инвентаризация!C344="","",Инвентаризация!O344)</f>
        <v/>
      </c>
      <c r="O344" s="10" t="str">
        <f>IF(Инвентаризация!C344="","",Инвентаризация!P344)</f>
        <v/>
      </c>
      <c r="P344" s="8" t="str">
        <f>IF(Инвентаризация!C344="","",Инвентаризация!Q344)</f>
        <v/>
      </c>
    </row>
    <row r="345" spans="1:16">
      <c r="A345" s="10" t="str">
        <f>IF(Инвентаризация!C345="","",Инвентаризация!B345)</f>
        <v/>
      </c>
      <c r="B345" s="10" t="str">
        <f>IF(Инвентаризация!C345="","",Инвентаризация!C345)</f>
        <v/>
      </c>
      <c r="C345" s="5" t="str">
        <f>IF(Инвентаризация!C345="","",Инвентаризация!D345)</f>
        <v/>
      </c>
      <c r="D345" s="11" t="str">
        <f>IF(Инвентаризация!C345="","",Инвентаризация!E345)</f>
        <v/>
      </c>
      <c r="E345" s="12" t="str">
        <f>IF(Инвентаризация!C345="","",Инвентаризация!F345)</f>
        <v/>
      </c>
      <c r="F345" s="12" t="str">
        <f>IF(Инвентаризация!C345="","",Инвентаризация!G345)</f>
        <v/>
      </c>
      <c r="G345" s="12" t="str">
        <f t="shared" si="25"/>
        <v/>
      </c>
      <c r="H345" s="13" t="str">
        <f t="shared" si="26"/>
        <v/>
      </c>
      <c r="I345" s="12" t="str">
        <f t="shared" si="27"/>
        <v/>
      </c>
      <c r="J345" s="12" t="str">
        <f t="shared" si="28"/>
        <v/>
      </c>
      <c r="K345" s="12" t="str">
        <f t="shared" si="29"/>
        <v/>
      </c>
      <c r="L345" s="10" t="str">
        <f>IF(Инвентаризация!C345="","",Инвентаризация!M345)</f>
        <v/>
      </c>
      <c r="M345" s="10" t="str">
        <f>IF(Инвентаризация!C345="","",Инвентаризация!N345)</f>
        <v/>
      </c>
      <c r="N345" s="10" t="str">
        <f>IF(Инвентаризация!C345="","",Инвентаризация!O345)</f>
        <v/>
      </c>
      <c r="O345" s="10" t="str">
        <f>IF(Инвентаризация!C345="","",Инвентаризация!P345)</f>
        <v/>
      </c>
      <c r="P345" s="8" t="str">
        <f>IF(Инвентаризация!C345="","",Инвентаризация!Q345)</f>
        <v/>
      </c>
    </row>
    <row r="346" spans="1:16">
      <c r="A346" s="10" t="str">
        <f>IF(Инвентаризация!C346="","",Инвентаризация!B346)</f>
        <v/>
      </c>
      <c r="B346" s="10" t="str">
        <f>IF(Инвентаризация!C346="","",Инвентаризация!C346)</f>
        <v/>
      </c>
      <c r="C346" s="5" t="str">
        <f>IF(Инвентаризация!C346="","",Инвентаризация!D346)</f>
        <v/>
      </c>
      <c r="D346" s="11" t="str">
        <f>IF(Инвентаризация!C346="","",Инвентаризация!E346)</f>
        <v/>
      </c>
      <c r="E346" s="12" t="str">
        <f>IF(Инвентаризация!C346="","",Инвентаризация!F346)</f>
        <v/>
      </c>
      <c r="F346" s="12" t="str">
        <f>IF(Инвентаризация!C346="","",Инвентаризация!G346)</f>
        <v/>
      </c>
      <c r="G346" s="12" t="str">
        <f t="shared" si="25"/>
        <v/>
      </c>
      <c r="H346" s="13" t="str">
        <f t="shared" si="26"/>
        <v/>
      </c>
      <c r="I346" s="12" t="str">
        <f t="shared" si="27"/>
        <v/>
      </c>
      <c r="J346" s="12" t="str">
        <f t="shared" si="28"/>
        <v/>
      </c>
      <c r="K346" s="12" t="str">
        <f t="shared" si="29"/>
        <v/>
      </c>
      <c r="L346" s="10" t="str">
        <f>IF(Инвентаризация!C346="","",Инвентаризация!M346)</f>
        <v/>
      </c>
      <c r="M346" s="10" t="str">
        <f>IF(Инвентаризация!C346="","",Инвентаризация!N346)</f>
        <v/>
      </c>
      <c r="N346" s="10" t="str">
        <f>IF(Инвентаризация!C346="","",Инвентаризация!O346)</f>
        <v/>
      </c>
      <c r="O346" s="10" t="str">
        <f>IF(Инвентаризация!C346="","",Инвентаризация!P346)</f>
        <v/>
      </c>
      <c r="P346" s="8" t="str">
        <f>IF(Инвентаризация!C346="","",Инвентаризация!Q346)</f>
        <v/>
      </c>
    </row>
    <row r="347" spans="1:16">
      <c r="A347" s="10" t="str">
        <f>IF(Инвентаризация!C347="","",Инвентаризация!B347)</f>
        <v/>
      </c>
      <c r="B347" s="10" t="str">
        <f>IF(Инвентаризация!C347="","",Инвентаризация!C347)</f>
        <v/>
      </c>
      <c r="C347" s="5" t="str">
        <f>IF(Инвентаризация!C347="","",Инвентаризация!D347)</f>
        <v/>
      </c>
      <c r="D347" s="11" t="str">
        <f>IF(Инвентаризация!C347="","",Инвентаризация!E347)</f>
        <v/>
      </c>
      <c r="E347" s="12" t="str">
        <f>IF(Инвентаризация!C347="","",Инвентаризация!F347)</f>
        <v/>
      </c>
      <c r="F347" s="12" t="str">
        <f>IF(Инвентаризация!C347="","",Инвентаризация!G347)</f>
        <v/>
      </c>
      <c r="G347" s="12" t="str">
        <f t="shared" si="25"/>
        <v/>
      </c>
      <c r="H347" s="13" t="str">
        <f t="shared" si="26"/>
        <v/>
      </c>
      <c r="I347" s="12" t="str">
        <f t="shared" si="27"/>
        <v/>
      </c>
      <c r="J347" s="12" t="str">
        <f t="shared" si="28"/>
        <v/>
      </c>
      <c r="K347" s="12" t="str">
        <f t="shared" si="29"/>
        <v/>
      </c>
      <c r="L347" s="10" t="str">
        <f>IF(Инвентаризация!C347="","",Инвентаризация!M347)</f>
        <v/>
      </c>
      <c r="M347" s="10" t="str">
        <f>IF(Инвентаризация!C347="","",Инвентаризация!N347)</f>
        <v/>
      </c>
      <c r="N347" s="10" t="str">
        <f>IF(Инвентаризация!C347="","",Инвентаризация!O347)</f>
        <v/>
      </c>
      <c r="O347" s="10" t="str">
        <f>IF(Инвентаризация!C347="","",Инвентаризация!P347)</f>
        <v/>
      </c>
      <c r="P347" s="8" t="str">
        <f>IF(Инвентаризация!C347="","",Инвентаризация!Q347)</f>
        <v/>
      </c>
    </row>
    <row r="348" spans="1:16">
      <c r="A348" s="10" t="str">
        <f>IF(Инвентаризация!C348="","",Инвентаризация!B348)</f>
        <v/>
      </c>
      <c r="B348" s="10" t="str">
        <f>IF(Инвентаризация!C348="","",Инвентаризация!C348)</f>
        <v/>
      </c>
      <c r="C348" s="5" t="str">
        <f>IF(Инвентаризация!C348="","",Инвентаризация!D348)</f>
        <v/>
      </c>
      <c r="D348" s="11" t="str">
        <f>IF(Инвентаризация!C348="","",Инвентаризация!E348)</f>
        <v/>
      </c>
      <c r="E348" s="12" t="str">
        <f>IF(Инвентаризация!C348="","",Инвентаризация!F348)</f>
        <v/>
      </c>
      <c r="F348" s="12" t="str">
        <f>IF(Инвентаризация!C348="","",Инвентаризация!G348)</f>
        <v/>
      </c>
      <c r="G348" s="12" t="str">
        <f t="shared" si="25"/>
        <v/>
      </c>
      <c r="H348" s="13" t="str">
        <f t="shared" si="26"/>
        <v/>
      </c>
      <c r="I348" s="12" t="str">
        <f t="shared" si="27"/>
        <v/>
      </c>
      <c r="J348" s="12" t="str">
        <f t="shared" si="28"/>
        <v/>
      </c>
      <c r="K348" s="12" t="str">
        <f t="shared" si="29"/>
        <v/>
      </c>
      <c r="L348" s="10" t="str">
        <f>IF(Инвентаризация!C348="","",Инвентаризация!M348)</f>
        <v/>
      </c>
      <c r="M348" s="10" t="str">
        <f>IF(Инвентаризация!C348="","",Инвентаризация!N348)</f>
        <v/>
      </c>
      <c r="N348" s="10" t="str">
        <f>IF(Инвентаризация!C348="","",Инвентаризация!O348)</f>
        <v/>
      </c>
      <c r="O348" s="10" t="str">
        <f>IF(Инвентаризация!C348="","",Инвентаризация!P348)</f>
        <v/>
      </c>
      <c r="P348" s="8" t="str">
        <f>IF(Инвентаризация!C348="","",Инвентаризация!Q348)</f>
        <v/>
      </c>
    </row>
    <row r="349" spans="1:16">
      <c r="A349" s="10" t="str">
        <f>IF(Инвентаризация!C349="","",Инвентаризация!B349)</f>
        <v/>
      </c>
      <c r="B349" s="10" t="str">
        <f>IF(Инвентаризация!C349="","",Инвентаризация!C349)</f>
        <v/>
      </c>
      <c r="C349" s="5" t="str">
        <f>IF(Инвентаризация!C349="","",Инвентаризация!D349)</f>
        <v/>
      </c>
      <c r="D349" s="11" t="str">
        <f>IF(Инвентаризация!C349="","",Инвентаризация!E349)</f>
        <v/>
      </c>
      <c r="E349" s="12" t="str">
        <f>IF(Инвентаризация!C349="","",Инвентаризация!F349)</f>
        <v/>
      </c>
      <c r="F349" s="12" t="str">
        <f>IF(Инвентаризация!C349="","",Инвентаризация!G349)</f>
        <v/>
      </c>
      <c r="G349" s="12" t="str">
        <f t="shared" si="25"/>
        <v/>
      </c>
      <c r="H349" s="13" t="str">
        <f t="shared" si="26"/>
        <v/>
      </c>
      <c r="I349" s="12" t="str">
        <f t="shared" si="27"/>
        <v/>
      </c>
      <c r="J349" s="12" t="str">
        <f t="shared" si="28"/>
        <v/>
      </c>
      <c r="K349" s="12" t="str">
        <f t="shared" si="29"/>
        <v/>
      </c>
      <c r="L349" s="10" t="str">
        <f>IF(Инвентаризация!C349="","",Инвентаризация!M349)</f>
        <v/>
      </c>
      <c r="M349" s="10" t="str">
        <f>IF(Инвентаризация!C349="","",Инвентаризация!N349)</f>
        <v/>
      </c>
      <c r="N349" s="10" t="str">
        <f>IF(Инвентаризация!C349="","",Инвентаризация!O349)</f>
        <v/>
      </c>
      <c r="O349" s="10" t="str">
        <f>IF(Инвентаризация!C349="","",Инвентаризация!P349)</f>
        <v/>
      </c>
      <c r="P349" s="8" t="str">
        <f>IF(Инвентаризация!C349="","",Инвентаризация!Q349)</f>
        <v/>
      </c>
    </row>
    <row r="350" spans="1:16">
      <c r="A350" s="10" t="str">
        <f>IF(Инвентаризация!C350="","",Инвентаризация!B350)</f>
        <v/>
      </c>
      <c r="B350" s="10" t="str">
        <f>IF(Инвентаризация!C350="","",Инвентаризация!C350)</f>
        <v/>
      </c>
      <c r="C350" s="5" t="str">
        <f>IF(Инвентаризация!C350="","",Инвентаризация!D350)</f>
        <v/>
      </c>
      <c r="D350" s="11" t="str">
        <f>IF(Инвентаризация!C350="","",Инвентаризация!E350)</f>
        <v/>
      </c>
      <c r="E350" s="12" t="str">
        <f>IF(Инвентаризация!C350="","",Инвентаризация!F350)</f>
        <v/>
      </c>
      <c r="F350" s="12" t="str">
        <f>IF(Инвентаризация!C350="","",Инвентаризация!G350)</f>
        <v/>
      </c>
      <c r="G350" s="12" t="str">
        <f t="shared" si="25"/>
        <v/>
      </c>
      <c r="H350" s="13" t="str">
        <f t="shared" si="26"/>
        <v/>
      </c>
      <c r="I350" s="12" t="str">
        <f t="shared" si="27"/>
        <v/>
      </c>
      <c r="J350" s="12" t="str">
        <f t="shared" si="28"/>
        <v/>
      </c>
      <c r="K350" s="12" t="str">
        <f t="shared" si="29"/>
        <v/>
      </c>
      <c r="L350" s="10" t="str">
        <f>IF(Инвентаризация!C350="","",Инвентаризация!M350)</f>
        <v/>
      </c>
      <c r="M350" s="10" t="str">
        <f>IF(Инвентаризация!C350="","",Инвентаризация!N350)</f>
        <v/>
      </c>
      <c r="N350" s="10" t="str">
        <f>IF(Инвентаризация!C350="","",Инвентаризация!O350)</f>
        <v/>
      </c>
      <c r="O350" s="10" t="str">
        <f>IF(Инвентаризация!C350="","",Инвентаризация!P350)</f>
        <v/>
      </c>
      <c r="P350" s="8" t="str">
        <f>IF(Инвентаризация!C350="","",Инвентаризация!Q350)</f>
        <v/>
      </c>
    </row>
    <row r="351" spans="1:16">
      <c r="A351" s="10" t="str">
        <f>IF(Инвентаризация!C351="","",Инвентаризация!B351)</f>
        <v/>
      </c>
      <c r="B351" s="10" t="str">
        <f>IF(Инвентаризация!C351="","",Инвентаризация!C351)</f>
        <v/>
      </c>
      <c r="C351" s="5" t="str">
        <f>IF(Инвентаризация!C351="","",Инвентаризация!D351)</f>
        <v/>
      </c>
      <c r="D351" s="11" t="str">
        <f>IF(Инвентаризация!C351="","",Инвентаризация!E351)</f>
        <v/>
      </c>
      <c r="E351" s="12" t="str">
        <f>IF(Инвентаризация!C351="","",Инвентаризация!F351)</f>
        <v/>
      </c>
      <c r="F351" s="12" t="str">
        <f>IF(Инвентаризация!C351="","",Инвентаризация!G351)</f>
        <v/>
      </c>
      <c r="G351" s="12" t="str">
        <f t="shared" si="25"/>
        <v/>
      </c>
      <c r="H351" s="13" t="str">
        <f t="shared" si="26"/>
        <v/>
      </c>
      <c r="I351" s="12" t="str">
        <f t="shared" si="27"/>
        <v/>
      </c>
      <c r="J351" s="12" t="str">
        <f t="shared" si="28"/>
        <v/>
      </c>
      <c r="K351" s="12" t="str">
        <f t="shared" si="29"/>
        <v/>
      </c>
      <c r="L351" s="10" t="str">
        <f>IF(Инвентаризация!C351="","",Инвентаризация!M351)</f>
        <v/>
      </c>
      <c r="M351" s="10" t="str">
        <f>IF(Инвентаризация!C351="","",Инвентаризация!N351)</f>
        <v/>
      </c>
      <c r="N351" s="10" t="str">
        <f>IF(Инвентаризация!C351="","",Инвентаризация!O351)</f>
        <v/>
      </c>
      <c r="O351" s="10" t="str">
        <f>IF(Инвентаризация!C351="","",Инвентаризация!P351)</f>
        <v/>
      </c>
      <c r="P351" s="8" t="str">
        <f>IF(Инвентаризация!C351="","",Инвентаризация!Q351)</f>
        <v/>
      </c>
    </row>
    <row r="352" spans="1:16">
      <c r="A352" s="10" t="str">
        <f>IF(Инвентаризация!C352="","",Инвентаризация!B352)</f>
        <v/>
      </c>
      <c r="B352" s="10" t="str">
        <f>IF(Инвентаризация!C352="","",Инвентаризация!C352)</f>
        <v/>
      </c>
      <c r="C352" s="5" t="str">
        <f>IF(Инвентаризация!C352="","",Инвентаризация!D352)</f>
        <v/>
      </c>
      <c r="D352" s="11" t="str">
        <f>IF(Инвентаризация!C352="","",Инвентаризация!E352)</f>
        <v/>
      </c>
      <c r="E352" s="12" t="str">
        <f>IF(Инвентаризация!C352="","",Инвентаризация!F352)</f>
        <v/>
      </c>
      <c r="F352" s="12" t="str">
        <f>IF(Инвентаризация!C352="","",Инвентаризация!G352)</f>
        <v/>
      </c>
      <c r="G352" s="12" t="str">
        <f t="shared" si="25"/>
        <v/>
      </c>
      <c r="H352" s="13" t="str">
        <f t="shared" si="26"/>
        <v/>
      </c>
      <c r="I352" s="12" t="str">
        <f t="shared" si="27"/>
        <v/>
      </c>
      <c r="J352" s="12" t="str">
        <f t="shared" si="28"/>
        <v/>
      </c>
      <c r="K352" s="12" t="str">
        <f t="shared" si="29"/>
        <v/>
      </c>
      <c r="L352" s="10" t="str">
        <f>IF(Инвентаризация!C352="","",Инвентаризация!M352)</f>
        <v/>
      </c>
      <c r="M352" s="10" t="str">
        <f>IF(Инвентаризация!C352="","",Инвентаризация!N352)</f>
        <v/>
      </c>
      <c r="N352" s="10" t="str">
        <f>IF(Инвентаризация!C352="","",Инвентаризация!O352)</f>
        <v/>
      </c>
      <c r="O352" s="10" t="str">
        <f>IF(Инвентаризация!C352="","",Инвентаризация!P352)</f>
        <v/>
      </c>
      <c r="P352" s="8" t="str">
        <f>IF(Инвентаризация!C352="","",Инвентаризация!Q352)</f>
        <v/>
      </c>
    </row>
    <row r="353" spans="1:16">
      <c r="A353" s="10" t="str">
        <f>IF(Инвентаризация!C353="","",Инвентаризация!B353)</f>
        <v/>
      </c>
      <c r="B353" s="10" t="str">
        <f>IF(Инвентаризация!C353="","",Инвентаризация!C353)</f>
        <v/>
      </c>
      <c r="C353" s="5" t="str">
        <f>IF(Инвентаризация!C353="","",Инвентаризация!D353)</f>
        <v/>
      </c>
      <c r="D353" s="11" t="str">
        <f>IF(Инвентаризация!C353="","",Инвентаризация!E353)</f>
        <v/>
      </c>
      <c r="E353" s="12" t="str">
        <f>IF(Инвентаризация!C353="","",Инвентаризация!F353)</f>
        <v/>
      </c>
      <c r="F353" s="12" t="str">
        <f>IF(Инвентаризация!C353="","",Инвентаризация!G353)</f>
        <v/>
      </c>
      <c r="G353" s="12" t="str">
        <f t="shared" si="25"/>
        <v/>
      </c>
      <c r="H353" s="13" t="str">
        <f t="shared" si="26"/>
        <v/>
      </c>
      <c r="I353" s="12" t="str">
        <f t="shared" si="27"/>
        <v/>
      </c>
      <c r="J353" s="12" t="str">
        <f t="shared" si="28"/>
        <v/>
      </c>
      <c r="K353" s="12" t="str">
        <f t="shared" si="29"/>
        <v/>
      </c>
      <c r="L353" s="10" t="str">
        <f>IF(Инвентаризация!C353="","",Инвентаризация!M353)</f>
        <v/>
      </c>
      <c r="M353" s="10" t="str">
        <f>IF(Инвентаризация!C353="","",Инвентаризация!N353)</f>
        <v/>
      </c>
      <c r="N353" s="10" t="str">
        <f>IF(Инвентаризация!C353="","",Инвентаризация!O353)</f>
        <v/>
      </c>
      <c r="O353" s="10" t="str">
        <f>IF(Инвентаризация!C353="","",Инвентаризация!P353)</f>
        <v/>
      </c>
      <c r="P353" s="8" t="str">
        <f>IF(Инвентаризация!C353="","",Инвентаризация!Q353)</f>
        <v/>
      </c>
    </row>
    <row r="354" spans="1:16">
      <c r="A354" s="10" t="str">
        <f>IF(Инвентаризация!C354="","",Инвентаризация!B354)</f>
        <v/>
      </c>
      <c r="B354" s="10" t="str">
        <f>IF(Инвентаризация!C354="","",Инвентаризация!C354)</f>
        <v/>
      </c>
      <c r="C354" s="5" t="str">
        <f>IF(Инвентаризация!C354="","",Инвентаризация!D354)</f>
        <v/>
      </c>
      <c r="D354" s="11" t="str">
        <f>IF(Инвентаризация!C354="","",Инвентаризация!E354)</f>
        <v/>
      </c>
      <c r="E354" s="12" t="str">
        <f>IF(Инвентаризация!C354="","",Инвентаризация!F354)</f>
        <v/>
      </c>
      <c r="F354" s="12" t="str">
        <f>IF(Инвентаризация!C354="","",Инвентаризация!G354)</f>
        <v/>
      </c>
      <c r="G354" s="12" t="str">
        <f t="shared" si="25"/>
        <v/>
      </c>
      <c r="H354" s="13" t="str">
        <f t="shared" si="26"/>
        <v/>
      </c>
      <c r="I354" s="12" t="str">
        <f t="shared" si="27"/>
        <v/>
      </c>
      <c r="J354" s="12" t="str">
        <f t="shared" si="28"/>
        <v/>
      </c>
      <c r="K354" s="12" t="str">
        <f t="shared" si="29"/>
        <v/>
      </c>
      <c r="L354" s="10" t="str">
        <f>IF(Инвентаризация!C354="","",Инвентаризация!M354)</f>
        <v/>
      </c>
      <c r="M354" s="10" t="str">
        <f>IF(Инвентаризация!C354="","",Инвентаризация!N354)</f>
        <v/>
      </c>
      <c r="N354" s="10" t="str">
        <f>IF(Инвентаризация!C354="","",Инвентаризация!O354)</f>
        <v/>
      </c>
      <c r="O354" s="10" t="str">
        <f>IF(Инвентаризация!C354="","",Инвентаризация!P354)</f>
        <v/>
      </c>
      <c r="P354" s="8" t="str">
        <f>IF(Инвентаризация!C354="","",Инвентаризация!Q354)</f>
        <v/>
      </c>
    </row>
    <row r="355" spans="1:16">
      <c r="A355" s="10" t="str">
        <f>IF(Инвентаризация!C355="","",Инвентаризация!B355)</f>
        <v/>
      </c>
      <c r="B355" s="10" t="str">
        <f>IF(Инвентаризация!C355="","",Инвентаризация!C355)</f>
        <v/>
      </c>
      <c r="C355" s="5" t="str">
        <f>IF(Инвентаризация!C355="","",Инвентаризация!D355)</f>
        <v/>
      </c>
      <c r="D355" s="11" t="str">
        <f>IF(Инвентаризация!C355="","",Инвентаризация!E355)</f>
        <v/>
      </c>
      <c r="E355" s="12" t="str">
        <f>IF(Инвентаризация!C355="","",Инвентаризация!F355)</f>
        <v/>
      </c>
      <c r="F355" s="12" t="str">
        <f>IF(Инвентаризация!C355="","",Инвентаризация!G355)</f>
        <v/>
      </c>
      <c r="G355" s="12" t="str">
        <f t="shared" si="25"/>
        <v/>
      </c>
      <c r="H355" s="13" t="str">
        <f t="shared" si="26"/>
        <v/>
      </c>
      <c r="I355" s="12" t="str">
        <f t="shared" si="27"/>
        <v/>
      </c>
      <c r="J355" s="12" t="str">
        <f t="shared" si="28"/>
        <v/>
      </c>
      <c r="K355" s="12" t="str">
        <f t="shared" si="29"/>
        <v/>
      </c>
      <c r="L355" s="10" t="str">
        <f>IF(Инвентаризация!C355="","",Инвентаризация!M355)</f>
        <v/>
      </c>
      <c r="M355" s="10" t="str">
        <f>IF(Инвентаризация!C355="","",Инвентаризация!N355)</f>
        <v/>
      </c>
      <c r="N355" s="10" t="str">
        <f>IF(Инвентаризация!C355="","",Инвентаризация!O355)</f>
        <v/>
      </c>
      <c r="O355" s="10" t="str">
        <f>IF(Инвентаризация!C355="","",Инвентаризация!P355)</f>
        <v/>
      </c>
      <c r="P355" s="8" t="str">
        <f>IF(Инвентаризация!C355="","",Инвентаризация!Q355)</f>
        <v/>
      </c>
    </row>
    <row r="356" spans="1:16">
      <c r="A356" s="10" t="str">
        <f>IF(Инвентаризация!C356="","",Инвентаризация!B356)</f>
        <v/>
      </c>
      <c r="B356" s="10" t="str">
        <f>IF(Инвентаризация!C356="","",Инвентаризация!C356)</f>
        <v/>
      </c>
      <c r="C356" s="5" t="str">
        <f>IF(Инвентаризация!C356="","",Инвентаризация!D356)</f>
        <v/>
      </c>
      <c r="D356" s="11" t="str">
        <f>IF(Инвентаризация!C356="","",Инвентаризация!E356)</f>
        <v/>
      </c>
      <c r="E356" s="12" t="str">
        <f>IF(Инвентаризация!C356="","",Инвентаризация!F356)</f>
        <v/>
      </c>
      <c r="F356" s="12" t="str">
        <f>IF(Инвентаризация!C356="","",Инвентаризация!G356)</f>
        <v/>
      </c>
      <c r="G356" s="12" t="str">
        <f t="shared" si="25"/>
        <v/>
      </c>
      <c r="H356" s="13" t="str">
        <f t="shared" si="26"/>
        <v/>
      </c>
      <c r="I356" s="12" t="str">
        <f t="shared" si="27"/>
        <v/>
      </c>
      <c r="J356" s="12" t="str">
        <f t="shared" si="28"/>
        <v/>
      </c>
      <c r="K356" s="12" t="str">
        <f t="shared" si="29"/>
        <v/>
      </c>
      <c r="L356" s="10" t="str">
        <f>IF(Инвентаризация!C356="","",Инвентаризация!M356)</f>
        <v/>
      </c>
      <c r="M356" s="10" t="str">
        <f>IF(Инвентаризация!C356="","",Инвентаризация!N356)</f>
        <v/>
      </c>
      <c r="N356" s="10" t="str">
        <f>IF(Инвентаризация!C356="","",Инвентаризация!O356)</f>
        <v/>
      </c>
      <c r="O356" s="10" t="str">
        <f>IF(Инвентаризация!C356="","",Инвентаризация!P356)</f>
        <v/>
      </c>
      <c r="P356" s="8" t="str">
        <f>IF(Инвентаризация!C356="","",Инвентаризация!Q356)</f>
        <v/>
      </c>
    </row>
    <row r="357" spans="1:16">
      <c r="A357" s="10" t="str">
        <f>IF(Инвентаризация!C357="","",Инвентаризация!B357)</f>
        <v/>
      </c>
      <c r="B357" s="10" t="str">
        <f>IF(Инвентаризация!C357="","",Инвентаризация!C357)</f>
        <v/>
      </c>
      <c r="C357" s="5" t="str">
        <f>IF(Инвентаризация!C357="","",Инвентаризация!D357)</f>
        <v/>
      </c>
      <c r="D357" s="11" t="str">
        <f>IF(Инвентаризация!C357="","",Инвентаризация!E357)</f>
        <v/>
      </c>
      <c r="E357" s="12" t="str">
        <f>IF(Инвентаризация!C357="","",Инвентаризация!F357)</f>
        <v/>
      </c>
      <c r="F357" s="12" t="str">
        <f>IF(Инвентаризация!C357="","",Инвентаризация!G357)</f>
        <v/>
      </c>
      <c r="G357" s="12" t="str">
        <f t="shared" si="25"/>
        <v/>
      </c>
      <c r="H357" s="13" t="str">
        <f t="shared" si="26"/>
        <v/>
      </c>
      <c r="I357" s="12" t="str">
        <f t="shared" si="27"/>
        <v/>
      </c>
      <c r="J357" s="12" t="str">
        <f t="shared" si="28"/>
        <v/>
      </c>
      <c r="K357" s="12" t="str">
        <f t="shared" si="29"/>
        <v/>
      </c>
      <c r="L357" s="10" t="str">
        <f>IF(Инвентаризация!C357="","",Инвентаризация!M357)</f>
        <v/>
      </c>
      <c r="M357" s="10" t="str">
        <f>IF(Инвентаризация!C357="","",Инвентаризация!N357)</f>
        <v/>
      </c>
      <c r="N357" s="10" t="str">
        <f>IF(Инвентаризация!C357="","",Инвентаризация!O357)</f>
        <v/>
      </c>
      <c r="O357" s="10" t="str">
        <f>IF(Инвентаризация!C357="","",Инвентаризация!P357)</f>
        <v/>
      </c>
      <c r="P357" s="8" t="str">
        <f>IF(Инвентаризация!C357="","",Инвентаризация!Q357)</f>
        <v/>
      </c>
    </row>
    <row r="358" spans="1:16">
      <c r="A358" s="10" t="str">
        <f>IF(Инвентаризация!C358="","",Инвентаризация!B358)</f>
        <v/>
      </c>
      <c r="B358" s="10" t="str">
        <f>IF(Инвентаризация!C358="","",Инвентаризация!C358)</f>
        <v/>
      </c>
      <c r="C358" s="5" t="str">
        <f>IF(Инвентаризация!C358="","",Инвентаризация!D358)</f>
        <v/>
      </c>
      <c r="D358" s="11" t="str">
        <f>IF(Инвентаризация!C358="","",Инвентаризация!E358)</f>
        <v/>
      </c>
      <c r="E358" s="12" t="str">
        <f>IF(Инвентаризация!C358="","",Инвентаризация!F358)</f>
        <v/>
      </c>
      <c r="F358" s="12" t="str">
        <f>IF(Инвентаризация!C358="","",Инвентаризация!G358)</f>
        <v/>
      </c>
      <c r="G358" s="12" t="str">
        <f t="shared" si="25"/>
        <v/>
      </c>
      <c r="H358" s="13" t="str">
        <f t="shared" si="26"/>
        <v/>
      </c>
      <c r="I358" s="12" t="str">
        <f t="shared" si="27"/>
        <v/>
      </c>
      <c r="J358" s="12" t="str">
        <f t="shared" si="28"/>
        <v/>
      </c>
      <c r="K358" s="12" t="str">
        <f t="shared" si="29"/>
        <v/>
      </c>
      <c r="L358" s="10" t="str">
        <f>IF(Инвентаризация!C358="","",Инвентаризация!M358)</f>
        <v/>
      </c>
      <c r="M358" s="10" t="str">
        <f>IF(Инвентаризация!C358="","",Инвентаризация!N358)</f>
        <v/>
      </c>
      <c r="N358" s="10" t="str">
        <f>IF(Инвентаризация!C358="","",Инвентаризация!O358)</f>
        <v/>
      </c>
      <c r="O358" s="10" t="str">
        <f>IF(Инвентаризация!C358="","",Инвентаризация!P358)</f>
        <v/>
      </c>
      <c r="P358" s="8" t="str">
        <f>IF(Инвентаризация!C358="","",Инвентаризация!Q358)</f>
        <v/>
      </c>
    </row>
    <row r="359" spans="1:16">
      <c r="A359" s="10" t="str">
        <f>IF(Инвентаризация!C359="","",Инвентаризация!B359)</f>
        <v/>
      </c>
      <c r="B359" s="10" t="str">
        <f>IF(Инвентаризация!C359="","",Инвентаризация!C359)</f>
        <v/>
      </c>
      <c r="C359" s="5" t="str">
        <f>IF(Инвентаризация!C359="","",Инвентаризация!D359)</f>
        <v/>
      </c>
      <c r="D359" s="11" t="str">
        <f>IF(Инвентаризация!C359="","",Инвентаризация!E359)</f>
        <v/>
      </c>
      <c r="E359" s="12" t="str">
        <f>IF(Инвентаризация!C359="","",Инвентаризация!F359)</f>
        <v/>
      </c>
      <c r="F359" s="12" t="str">
        <f>IF(Инвентаризация!C359="","",Инвентаризация!G359)</f>
        <v/>
      </c>
      <c r="G359" s="12" t="str">
        <f t="shared" si="25"/>
        <v/>
      </c>
      <c r="H359" s="13" t="str">
        <f t="shared" si="26"/>
        <v/>
      </c>
      <c r="I359" s="12" t="str">
        <f t="shared" si="27"/>
        <v/>
      </c>
      <c r="J359" s="12" t="str">
        <f t="shared" si="28"/>
        <v/>
      </c>
      <c r="K359" s="12" t="str">
        <f t="shared" si="29"/>
        <v/>
      </c>
      <c r="L359" s="10" t="str">
        <f>IF(Инвентаризация!C359="","",Инвентаризация!M359)</f>
        <v/>
      </c>
      <c r="M359" s="10" t="str">
        <f>IF(Инвентаризация!C359="","",Инвентаризация!N359)</f>
        <v/>
      </c>
      <c r="N359" s="10" t="str">
        <f>IF(Инвентаризация!C359="","",Инвентаризация!O359)</f>
        <v/>
      </c>
      <c r="O359" s="10" t="str">
        <f>IF(Инвентаризация!C359="","",Инвентаризация!P359)</f>
        <v/>
      </c>
      <c r="P359" s="8" t="str">
        <f>IF(Инвентаризация!C359="","",Инвентаризация!Q359)</f>
        <v/>
      </c>
    </row>
    <row r="360" spans="1:16">
      <c r="A360" s="10" t="str">
        <f>IF(Инвентаризация!C360="","",Инвентаризация!B360)</f>
        <v/>
      </c>
      <c r="B360" s="10" t="str">
        <f>IF(Инвентаризация!C360="","",Инвентаризация!C360)</f>
        <v/>
      </c>
      <c r="C360" s="5" t="str">
        <f>IF(Инвентаризация!C360="","",Инвентаризация!D360)</f>
        <v/>
      </c>
      <c r="D360" s="11" t="str">
        <f>IF(Инвентаризация!C360="","",Инвентаризация!E360)</f>
        <v/>
      </c>
      <c r="E360" s="12" t="str">
        <f>IF(Инвентаризация!C360="","",Инвентаризация!F360)</f>
        <v/>
      </c>
      <c r="F360" s="12" t="str">
        <f>IF(Инвентаризация!C360="","",Инвентаризация!G360)</f>
        <v/>
      </c>
      <c r="G360" s="12" t="str">
        <f t="shared" si="25"/>
        <v/>
      </c>
      <c r="H360" s="13" t="str">
        <f t="shared" si="26"/>
        <v/>
      </c>
      <c r="I360" s="12" t="str">
        <f t="shared" si="27"/>
        <v/>
      </c>
      <c r="J360" s="12" t="str">
        <f t="shared" si="28"/>
        <v/>
      </c>
      <c r="K360" s="12" t="str">
        <f t="shared" si="29"/>
        <v/>
      </c>
      <c r="L360" s="10" t="str">
        <f>IF(Инвентаризация!C360="","",Инвентаризация!M360)</f>
        <v/>
      </c>
      <c r="M360" s="10" t="str">
        <f>IF(Инвентаризация!C360="","",Инвентаризация!N360)</f>
        <v/>
      </c>
      <c r="N360" s="10" t="str">
        <f>IF(Инвентаризация!C360="","",Инвентаризация!O360)</f>
        <v/>
      </c>
      <c r="O360" s="10" t="str">
        <f>IF(Инвентаризация!C360="","",Инвентаризация!P360)</f>
        <v/>
      </c>
      <c r="P360" s="8" t="str">
        <f>IF(Инвентаризация!C360="","",Инвентаризация!Q360)</f>
        <v/>
      </c>
    </row>
    <row r="361" spans="1:16">
      <c r="A361" s="10" t="str">
        <f>IF(Инвентаризация!C361="","",Инвентаризация!B361)</f>
        <v/>
      </c>
      <c r="B361" s="10" t="str">
        <f>IF(Инвентаризация!C361="","",Инвентаризация!C361)</f>
        <v/>
      </c>
      <c r="C361" s="5" t="str">
        <f>IF(Инвентаризация!C361="","",Инвентаризация!D361)</f>
        <v/>
      </c>
      <c r="D361" s="11" t="str">
        <f>IF(Инвентаризация!C361="","",Инвентаризация!E361)</f>
        <v/>
      </c>
      <c r="E361" s="12" t="str">
        <f>IF(Инвентаризация!C361="","",Инвентаризация!F361)</f>
        <v/>
      </c>
      <c r="F361" s="12" t="str">
        <f>IF(Инвентаризация!C361="","",Инвентаризация!G361)</f>
        <v/>
      </c>
      <c r="G361" s="12" t="str">
        <f t="shared" si="25"/>
        <v/>
      </c>
      <c r="H361" s="13" t="str">
        <f t="shared" si="26"/>
        <v/>
      </c>
      <c r="I361" s="12" t="str">
        <f t="shared" si="27"/>
        <v/>
      </c>
      <c r="J361" s="12" t="str">
        <f t="shared" si="28"/>
        <v/>
      </c>
      <c r="K361" s="12" t="str">
        <f t="shared" si="29"/>
        <v/>
      </c>
      <c r="L361" s="10" t="str">
        <f>IF(Инвентаризация!C361="","",Инвентаризация!M361)</f>
        <v/>
      </c>
      <c r="M361" s="10" t="str">
        <f>IF(Инвентаризация!C361="","",Инвентаризация!N361)</f>
        <v/>
      </c>
      <c r="N361" s="10" t="str">
        <f>IF(Инвентаризация!C361="","",Инвентаризация!O361)</f>
        <v/>
      </c>
      <c r="O361" s="10" t="str">
        <f>IF(Инвентаризация!C361="","",Инвентаризация!P361)</f>
        <v/>
      </c>
      <c r="P361" s="8" t="str">
        <f>IF(Инвентаризация!C361="","",Инвентаризация!Q361)</f>
        <v/>
      </c>
    </row>
    <row r="362" spans="1:16">
      <c r="A362" s="10" t="str">
        <f>IF(Инвентаризация!C362="","",Инвентаризация!B362)</f>
        <v/>
      </c>
      <c r="B362" s="10" t="str">
        <f>IF(Инвентаризация!C362="","",Инвентаризация!C362)</f>
        <v/>
      </c>
      <c r="C362" s="5" t="str">
        <f>IF(Инвентаризация!C362="","",Инвентаризация!D362)</f>
        <v/>
      </c>
      <c r="D362" s="11" t="str">
        <f>IF(Инвентаризация!C362="","",Инвентаризация!E362)</f>
        <v/>
      </c>
      <c r="E362" s="12" t="str">
        <f>IF(Инвентаризация!C362="","",Инвентаризация!F362)</f>
        <v/>
      </c>
      <c r="F362" s="12" t="str">
        <f>IF(Инвентаризация!C362="","",Инвентаризация!G362)</f>
        <v/>
      </c>
      <c r="G362" s="12" t="str">
        <f t="shared" si="25"/>
        <v/>
      </c>
      <c r="H362" s="13" t="str">
        <f t="shared" si="26"/>
        <v/>
      </c>
      <c r="I362" s="12" t="str">
        <f t="shared" si="27"/>
        <v/>
      </c>
      <c r="J362" s="12" t="str">
        <f t="shared" si="28"/>
        <v/>
      </c>
      <c r="K362" s="12" t="str">
        <f t="shared" si="29"/>
        <v/>
      </c>
      <c r="L362" s="10" t="str">
        <f>IF(Инвентаризация!C362="","",Инвентаризация!M362)</f>
        <v/>
      </c>
      <c r="M362" s="10" t="str">
        <f>IF(Инвентаризация!C362="","",Инвентаризация!N362)</f>
        <v/>
      </c>
      <c r="N362" s="10" t="str">
        <f>IF(Инвентаризация!C362="","",Инвентаризация!O362)</f>
        <v/>
      </c>
      <c r="O362" s="10" t="str">
        <f>IF(Инвентаризация!C362="","",Инвентаризация!P362)</f>
        <v/>
      </c>
      <c r="P362" s="8" t="str">
        <f>IF(Инвентаризация!C362="","",Инвентаризация!Q362)</f>
        <v/>
      </c>
    </row>
    <row r="363" spans="1:16">
      <c r="A363" s="10" t="str">
        <f>IF(Инвентаризация!C363="","",Инвентаризация!B363)</f>
        <v/>
      </c>
      <c r="B363" s="10" t="str">
        <f>IF(Инвентаризация!C363="","",Инвентаризация!C363)</f>
        <v/>
      </c>
      <c r="C363" s="5" t="str">
        <f>IF(Инвентаризация!C363="","",Инвентаризация!D363)</f>
        <v/>
      </c>
      <c r="D363" s="11" t="str">
        <f>IF(Инвентаризация!C363="","",Инвентаризация!E363)</f>
        <v/>
      </c>
      <c r="E363" s="12" t="str">
        <f>IF(Инвентаризация!C363="","",Инвентаризация!F363)</f>
        <v/>
      </c>
      <c r="F363" s="12" t="str">
        <f>IF(Инвентаризация!C363="","",Инвентаризация!G363)</f>
        <v/>
      </c>
      <c r="G363" s="12" t="str">
        <f t="shared" si="25"/>
        <v/>
      </c>
      <c r="H363" s="13" t="str">
        <f t="shared" si="26"/>
        <v/>
      </c>
      <c r="I363" s="12" t="str">
        <f t="shared" si="27"/>
        <v/>
      </c>
      <c r="J363" s="12" t="str">
        <f t="shared" si="28"/>
        <v/>
      </c>
      <c r="K363" s="12" t="str">
        <f t="shared" si="29"/>
        <v/>
      </c>
      <c r="L363" s="10" t="str">
        <f>IF(Инвентаризация!C363="","",Инвентаризация!M363)</f>
        <v/>
      </c>
      <c r="M363" s="10" t="str">
        <f>IF(Инвентаризация!C363="","",Инвентаризация!N363)</f>
        <v/>
      </c>
      <c r="N363" s="10" t="str">
        <f>IF(Инвентаризация!C363="","",Инвентаризация!O363)</f>
        <v/>
      </c>
      <c r="O363" s="10" t="str">
        <f>IF(Инвентаризация!C363="","",Инвентаризация!P363)</f>
        <v/>
      </c>
      <c r="P363" s="8" t="str">
        <f>IF(Инвентаризация!C363="","",Инвентаризация!Q363)</f>
        <v/>
      </c>
    </row>
    <row r="364" spans="1:16">
      <c r="A364" s="10" t="str">
        <f>IF(Инвентаризация!C364="","",Инвентаризация!B364)</f>
        <v/>
      </c>
      <c r="B364" s="10" t="str">
        <f>IF(Инвентаризация!C364="","",Инвентаризация!C364)</f>
        <v/>
      </c>
      <c r="C364" s="5" t="str">
        <f>IF(Инвентаризация!C364="","",Инвентаризация!D364)</f>
        <v/>
      </c>
      <c r="D364" s="11" t="str">
        <f>IF(Инвентаризация!C364="","",Инвентаризация!E364)</f>
        <v/>
      </c>
      <c r="E364" s="12" t="str">
        <f>IF(Инвентаризация!C364="","",Инвентаризация!F364)</f>
        <v/>
      </c>
      <c r="F364" s="12" t="str">
        <f>IF(Инвентаризация!C364="","",Инвентаризация!G364)</f>
        <v/>
      </c>
      <c r="G364" s="12" t="str">
        <f t="shared" si="25"/>
        <v/>
      </c>
      <c r="H364" s="13" t="str">
        <f t="shared" si="26"/>
        <v/>
      </c>
      <c r="I364" s="12" t="str">
        <f t="shared" si="27"/>
        <v/>
      </c>
      <c r="J364" s="12" t="str">
        <f t="shared" si="28"/>
        <v/>
      </c>
      <c r="K364" s="12" t="str">
        <f t="shared" si="29"/>
        <v/>
      </c>
      <c r="L364" s="10" t="str">
        <f>IF(Инвентаризация!C364="","",Инвентаризация!M364)</f>
        <v/>
      </c>
      <c r="M364" s="10" t="str">
        <f>IF(Инвентаризация!C364="","",Инвентаризация!N364)</f>
        <v/>
      </c>
      <c r="N364" s="10" t="str">
        <f>IF(Инвентаризация!C364="","",Инвентаризация!O364)</f>
        <v/>
      </c>
      <c r="O364" s="10" t="str">
        <f>IF(Инвентаризация!C364="","",Инвентаризация!P364)</f>
        <v/>
      </c>
      <c r="P364" s="8" t="str">
        <f>IF(Инвентаризация!C364="","",Инвентаризация!Q364)</f>
        <v/>
      </c>
    </row>
    <row r="365" spans="1:16">
      <c r="A365" s="10" t="str">
        <f>IF(Инвентаризация!C365="","",Инвентаризация!B365)</f>
        <v/>
      </c>
      <c r="B365" s="10" t="str">
        <f>IF(Инвентаризация!C365="","",Инвентаризация!C365)</f>
        <v/>
      </c>
      <c r="C365" s="5" t="str">
        <f>IF(Инвентаризация!C365="","",Инвентаризация!D365)</f>
        <v/>
      </c>
      <c r="D365" s="11" t="str">
        <f>IF(Инвентаризация!C365="","",Инвентаризация!E365)</f>
        <v/>
      </c>
      <c r="E365" s="12" t="str">
        <f>IF(Инвентаризация!C365="","",Инвентаризация!F365)</f>
        <v/>
      </c>
      <c r="F365" s="12" t="str">
        <f>IF(Инвентаризация!C365="","",Инвентаризация!G365)</f>
        <v/>
      </c>
      <c r="G365" s="12" t="str">
        <f t="shared" si="25"/>
        <v/>
      </c>
      <c r="H365" s="13" t="str">
        <f t="shared" si="26"/>
        <v/>
      </c>
      <c r="I365" s="12" t="str">
        <f t="shared" si="27"/>
        <v/>
      </c>
      <c r="J365" s="12" t="str">
        <f t="shared" si="28"/>
        <v/>
      </c>
      <c r="K365" s="12" t="str">
        <f t="shared" si="29"/>
        <v/>
      </c>
      <c r="L365" s="10" t="str">
        <f>IF(Инвентаризация!C365="","",Инвентаризация!M365)</f>
        <v/>
      </c>
      <c r="M365" s="10" t="str">
        <f>IF(Инвентаризация!C365="","",Инвентаризация!N365)</f>
        <v/>
      </c>
      <c r="N365" s="10" t="str">
        <f>IF(Инвентаризация!C365="","",Инвентаризация!O365)</f>
        <v/>
      </c>
      <c r="O365" s="10" t="str">
        <f>IF(Инвентаризация!C365="","",Инвентаризация!P365)</f>
        <v/>
      </c>
      <c r="P365" s="8" t="str">
        <f>IF(Инвентаризация!C365="","",Инвентаризация!Q365)</f>
        <v/>
      </c>
    </row>
    <row r="366" spans="1:16">
      <c r="A366" s="10" t="str">
        <f>IF(Инвентаризация!C366="","",Инвентаризация!B366)</f>
        <v/>
      </c>
      <c r="B366" s="10" t="str">
        <f>IF(Инвентаризация!C366="","",Инвентаризация!C366)</f>
        <v/>
      </c>
      <c r="C366" s="5" t="str">
        <f>IF(Инвентаризация!C366="","",Инвентаризация!D366)</f>
        <v/>
      </c>
      <c r="D366" s="11" t="str">
        <f>IF(Инвентаризация!C366="","",Инвентаризация!E366)</f>
        <v/>
      </c>
      <c r="E366" s="12" t="str">
        <f>IF(Инвентаризация!C366="","",Инвентаризация!F366)</f>
        <v/>
      </c>
      <c r="F366" s="12" t="str">
        <f>IF(Инвентаризация!C366="","",Инвентаризация!G366)</f>
        <v/>
      </c>
      <c r="G366" s="12" t="str">
        <f t="shared" si="25"/>
        <v/>
      </c>
      <c r="H366" s="13" t="str">
        <f t="shared" si="26"/>
        <v/>
      </c>
      <c r="I366" s="12" t="str">
        <f t="shared" si="27"/>
        <v/>
      </c>
      <c r="J366" s="12" t="str">
        <f t="shared" si="28"/>
        <v/>
      </c>
      <c r="K366" s="12" t="str">
        <f t="shared" si="29"/>
        <v/>
      </c>
      <c r="L366" s="10" t="str">
        <f>IF(Инвентаризация!C366="","",Инвентаризация!M366)</f>
        <v/>
      </c>
      <c r="M366" s="10" t="str">
        <f>IF(Инвентаризация!C366="","",Инвентаризация!N366)</f>
        <v/>
      </c>
      <c r="N366" s="10" t="str">
        <f>IF(Инвентаризация!C366="","",Инвентаризация!O366)</f>
        <v/>
      </c>
      <c r="O366" s="10" t="str">
        <f>IF(Инвентаризация!C366="","",Инвентаризация!P366)</f>
        <v/>
      </c>
      <c r="P366" s="8" t="str">
        <f>IF(Инвентаризация!C366="","",Инвентаризация!Q366)</f>
        <v/>
      </c>
    </row>
    <row r="367" spans="1:16">
      <c r="A367" s="10" t="str">
        <f>IF(Инвентаризация!C367="","",Инвентаризация!B367)</f>
        <v/>
      </c>
      <c r="B367" s="10" t="str">
        <f>IF(Инвентаризация!C367="","",Инвентаризация!C367)</f>
        <v/>
      </c>
      <c r="C367" s="5" t="str">
        <f>IF(Инвентаризация!C367="","",Инвентаризация!D367)</f>
        <v/>
      </c>
      <c r="D367" s="11" t="str">
        <f>IF(Инвентаризация!C367="","",Инвентаризация!E367)</f>
        <v/>
      </c>
      <c r="E367" s="12" t="str">
        <f>IF(Инвентаризация!C367="","",Инвентаризация!F367)</f>
        <v/>
      </c>
      <c r="F367" s="12" t="str">
        <f>IF(Инвентаризация!C367="","",Инвентаризация!G367)</f>
        <v/>
      </c>
      <c r="G367" s="12" t="str">
        <f t="shared" si="25"/>
        <v/>
      </c>
      <c r="H367" s="13" t="str">
        <f t="shared" si="26"/>
        <v/>
      </c>
      <c r="I367" s="12" t="str">
        <f t="shared" si="27"/>
        <v/>
      </c>
      <c r="J367" s="12" t="str">
        <f t="shared" si="28"/>
        <v/>
      </c>
      <c r="K367" s="12" t="str">
        <f t="shared" si="29"/>
        <v/>
      </c>
      <c r="L367" s="10" t="str">
        <f>IF(Инвентаризация!C367="","",Инвентаризация!M367)</f>
        <v/>
      </c>
      <c r="M367" s="10" t="str">
        <f>IF(Инвентаризация!C367="","",Инвентаризация!N367)</f>
        <v/>
      </c>
      <c r="N367" s="10" t="str">
        <f>IF(Инвентаризация!C367="","",Инвентаризация!O367)</f>
        <v/>
      </c>
      <c r="O367" s="10" t="str">
        <f>IF(Инвентаризация!C367="","",Инвентаризация!P367)</f>
        <v/>
      </c>
      <c r="P367" s="8" t="str">
        <f>IF(Инвентаризация!C367="","",Инвентаризация!Q367)</f>
        <v/>
      </c>
    </row>
    <row r="368" spans="1:16">
      <c r="A368" s="10" t="str">
        <f>IF(Инвентаризация!C368="","",Инвентаризация!B368)</f>
        <v/>
      </c>
      <c r="B368" s="10" t="str">
        <f>IF(Инвентаризация!C368="","",Инвентаризация!C368)</f>
        <v/>
      </c>
      <c r="C368" s="5" t="str">
        <f>IF(Инвентаризация!C368="","",Инвентаризация!D368)</f>
        <v/>
      </c>
      <c r="D368" s="11" t="str">
        <f>IF(Инвентаризация!C368="","",Инвентаризация!E368)</f>
        <v/>
      </c>
      <c r="E368" s="12" t="str">
        <f>IF(Инвентаризация!C368="","",Инвентаризация!F368)</f>
        <v/>
      </c>
      <c r="F368" s="12" t="str">
        <f>IF(Инвентаризация!C368="","",Инвентаризация!G368)</f>
        <v/>
      </c>
      <c r="G368" s="12" t="str">
        <f t="shared" si="25"/>
        <v/>
      </c>
      <c r="H368" s="13" t="str">
        <f t="shared" si="26"/>
        <v/>
      </c>
      <c r="I368" s="12" t="str">
        <f t="shared" si="27"/>
        <v/>
      </c>
      <c r="J368" s="12" t="str">
        <f t="shared" si="28"/>
        <v/>
      </c>
      <c r="K368" s="12" t="str">
        <f t="shared" si="29"/>
        <v/>
      </c>
      <c r="L368" s="10" t="str">
        <f>IF(Инвентаризация!C368="","",Инвентаризация!M368)</f>
        <v/>
      </c>
      <c r="M368" s="10" t="str">
        <f>IF(Инвентаризация!C368="","",Инвентаризация!N368)</f>
        <v/>
      </c>
      <c r="N368" s="10" t="str">
        <f>IF(Инвентаризация!C368="","",Инвентаризация!O368)</f>
        <v/>
      </c>
      <c r="O368" s="10" t="str">
        <f>IF(Инвентаризация!C368="","",Инвентаризация!P368)</f>
        <v/>
      </c>
      <c r="P368" s="8" t="str">
        <f>IF(Инвентаризация!C368="","",Инвентаризация!Q368)</f>
        <v/>
      </c>
    </row>
    <row r="369" spans="1:16">
      <c r="A369" s="10" t="str">
        <f>IF(Инвентаризация!C369="","",Инвентаризация!B369)</f>
        <v/>
      </c>
      <c r="B369" s="10" t="str">
        <f>IF(Инвентаризация!C369="","",Инвентаризация!C369)</f>
        <v/>
      </c>
      <c r="C369" s="5" t="str">
        <f>IF(Инвентаризация!C369="","",Инвентаризация!D369)</f>
        <v/>
      </c>
      <c r="D369" s="11" t="str">
        <f>IF(Инвентаризация!C369="","",Инвентаризация!E369)</f>
        <v/>
      </c>
      <c r="E369" s="12" t="str">
        <f>IF(Инвентаризация!C369="","",Инвентаризация!F369)</f>
        <v/>
      </c>
      <c r="F369" s="12" t="str">
        <f>IF(Инвентаризация!C369="","",Инвентаризация!G369)</f>
        <v/>
      </c>
      <c r="G369" s="12" t="str">
        <f t="shared" si="25"/>
        <v/>
      </c>
      <c r="H369" s="13" t="str">
        <f t="shared" si="26"/>
        <v/>
      </c>
      <c r="I369" s="12" t="str">
        <f t="shared" si="27"/>
        <v/>
      </c>
      <c r="J369" s="12" t="str">
        <f t="shared" si="28"/>
        <v/>
      </c>
      <c r="K369" s="12" t="str">
        <f t="shared" si="29"/>
        <v/>
      </c>
      <c r="L369" s="10" t="str">
        <f>IF(Инвентаризация!C369="","",Инвентаризация!M369)</f>
        <v/>
      </c>
      <c r="M369" s="10" t="str">
        <f>IF(Инвентаризация!C369="","",Инвентаризация!N369)</f>
        <v/>
      </c>
      <c r="N369" s="10" t="str">
        <f>IF(Инвентаризация!C369="","",Инвентаризация!O369)</f>
        <v/>
      </c>
      <c r="O369" s="10" t="str">
        <f>IF(Инвентаризация!C369="","",Инвентаризация!P369)</f>
        <v/>
      </c>
      <c r="P369" s="8" t="str">
        <f>IF(Инвентаризация!C369="","",Инвентаризация!Q369)</f>
        <v/>
      </c>
    </row>
    <row r="370" spans="1:16">
      <c r="A370" s="10" t="str">
        <f>IF(Инвентаризация!C370="","",Инвентаризация!B370)</f>
        <v/>
      </c>
      <c r="B370" s="10" t="str">
        <f>IF(Инвентаризация!C370="","",Инвентаризация!C370)</f>
        <v/>
      </c>
      <c r="C370" s="5" t="str">
        <f>IF(Инвентаризация!C370="","",Инвентаризация!D370)</f>
        <v/>
      </c>
      <c r="D370" s="11" t="str">
        <f>IF(Инвентаризация!C370="","",Инвентаризация!E370)</f>
        <v/>
      </c>
      <c r="E370" s="12" t="str">
        <f>IF(Инвентаризация!C370="","",Инвентаризация!F370)</f>
        <v/>
      </c>
      <c r="F370" s="12" t="str">
        <f>IF(Инвентаризация!C370="","",Инвентаризация!G370)</f>
        <v/>
      </c>
      <c r="G370" s="12" t="str">
        <f t="shared" si="25"/>
        <v/>
      </c>
      <c r="H370" s="13" t="str">
        <f t="shared" si="26"/>
        <v/>
      </c>
      <c r="I370" s="12" t="str">
        <f t="shared" si="27"/>
        <v/>
      </c>
      <c r="J370" s="12" t="str">
        <f t="shared" si="28"/>
        <v/>
      </c>
      <c r="K370" s="12" t="str">
        <f t="shared" si="29"/>
        <v/>
      </c>
      <c r="L370" s="10" t="str">
        <f>IF(Инвентаризация!C370="","",Инвентаризация!M370)</f>
        <v/>
      </c>
      <c r="M370" s="10" t="str">
        <f>IF(Инвентаризация!C370="","",Инвентаризация!N370)</f>
        <v/>
      </c>
      <c r="N370" s="10" t="str">
        <f>IF(Инвентаризация!C370="","",Инвентаризация!O370)</f>
        <v/>
      </c>
      <c r="O370" s="10" t="str">
        <f>IF(Инвентаризация!C370="","",Инвентаризация!P370)</f>
        <v/>
      </c>
      <c r="P370" s="8" t="str">
        <f>IF(Инвентаризация!C370="","",Инвентаризация!Q370)</f>
        <v/>
      </c>
    </row>
    <row r="371" spans="1:16">
      <c r="A371" s="10" t="str">
        <f>IF(Инвентаризация!C371="","",Инвентаризация!B371)</f>
        <v/>
      </c>
      <c r="B371" s="10" t="str">
        <f>IF(Инвентаризация!C371="","",Инвентаризация!C371)</f>
        <v/>
      </c>
      <c r="C371" s="5" t="str">
        <f>IF(Инвентаризация!C371="","",Инвентаризация!D371)</f>
        <v/>
      </c>
      <c r="D371" s="11" t="str">
        <f>IF(Инвентаризация!C371="","",Инвентаризация!E371)</f>
        <v/>
      </c>
      <c r="E371" s="12" t="str">
        <f>IF(Инвентаризация!C371="","",Инвентаризация!F371)</f>
        <v/>
      </c>
      <c r="F371" s="12" t="str">
        <f>IF(Инвентаризация!C371="","",Инвентаризация!G371)</f>
        <v/>
      </c>
      <c r="G371" s="12" t="str">
        <f t="shared" si="25"/>
        <v/>
      </c>
      <c r="H371" s="13" t="str">
        <f t="shared" si="26"/>
        <v/>
      </c>
      <c r="I371" s="12" t="str">
        <f t="shared" si="27"/>
        <v/>
      </c>
      <c r="J371" s="12" t="str">
        <f t="shared" si="28"/>
        <v/>
      </c>
      <c r="K371" s="12" t="str">
        <f t="shared" si="29"/>
        <v/>
      </c>
      <c r="L371" s="10" t="str">
        <f>IF(Инвентаризация!C371="","",Инвентаризация!M371)</f>
        <v/>
      </c>
      <c r="M371" s="10" t="str">
        <f>IF(Инвентаризация!C371="","",Инвентаризация!N371)</f>
        <v/>
      </c>
      <c r="N371" s="10" t="str">
        <f>IF(Инвентаризация!C371="","",Инвентаризация!O371)</f>
        <v/>
      </c>
      <c r="O371" s="10" t="str">
        <f>IF(Инвентаризация!C371="","",Инвентаризация!P371)</f>
        <v/>
      </c>
      <c r="P371" s="8" t="str">
        <f>IF(Инвентаризация!C371="","",Инвентаризация!Q371)</f>
        <v/>
      </c>
    </row>
    <row r="372" spans="1:16">
      <c r="A372" s="10" t="str">
        <f>IF(Инвентаризация!C372="","",Инвентаризация!B372)</f>
        <v/>
      </c>
      <c r="B372" s="10" t="str">
        <f>IF(Инвентаризация!C372="","",Инвентаризация!C372)</f>
        <v/>
      </c>
      <c r="C372" s="5" t="str">
        <f>IF(Инвентаризация!C372="","",Инвентаризация!D372)</f>
        <v/>
      </c>
      <c r="D372" s="11" t="str">
        <f>IF(Инвентаризация!C372="","",Инвентаризация!E372)</f>
        <v/>
      </c>
      <c r="E372" s="12" t="str">
        <f>IF(Инвентаризация!C372="","",Инвентаризация!F372)</f>
        <v/>
      </c>
      <c r="F372" s="12" t="str">
        <f>IF(Инвентаризация!C372="","",Инвентаризация!G372)</f>
        <v/>
      </c>
      <c r="G372" s="12" t="str">
        <f t="shared" si="25"/>
        <v/>
      </c>
      <c r="H372" s="13" t="str">
        <f t="shared" si="26"/>
        <v/>
      </c>
      <c r="I372" s="12" t="str">
        <f t="shared" si="27"/>
        <v/>
      </c>
      <c r="J372" s="12" t="str">
        <f t="shared" si="28"/>
        <v/>
      </c>
      <c r="K372" s="12" t="str">
        <f t="shared" si="29"/>
        <v/>
      </c>
      <c r="L372" s="10" t="str">
        <f>IF(Инвентаризация!C372="","",Инвентаризация!M372)</f>
        <v/>
      </c>
      <c r="M372" s="10" t="str">
        <f>IF(Инвентаризация!C372="","",Инвентаризация!N372)</f>
        <v/>
      </c>
      <c r="N372" s="10" t="str">
        <f>IF(Инвентаризация!C372="","",Инвентаризация!O372)</f>
        <v/>
      </c>
      <c r="O372" s="10" t="str">
        <f>IF(Инвентаризация!C372="","",Инвентаризация!P372)</f>
        <v/>
      </c>
      <c r="P372" s="8" t="str">
        <f>IF(Инвентаризация!C372="","",Инвентаризация!Q372)</f>
        <v/>
      </c>
    </row>
    <row r="373" spans="1:16">
      <c r="A373" s="10" t="str">
        <f>IF(Инвентаризация!C373="","",Инвентаризация!B373)</f>
        <v/>
      </c>
      <c r="B373" s="10" t="str">
        <f>IF(Инвентаризация!C373="","",Инвентаризация!C373)</f>
        <v/>
      </c>
      <c r="C373" s="5" t="str">
        <f>IF(Инвентаризация!C373="","",Инвентаризация!D373)</f>
        <v/>
      </c>
      <c r="D373" s="11" t="str">
        <f>IF(Инвентаризация!C373="","",Инвентаризация!E373)</f>
        <v/>
      </c>
      <c r="E373" s="12" t="str">
        <f>IF(Инвентаризация!C373="","",Инвентаризация!F373)</f>
        <v/>
      </c>
      <c r="F373" s="12" t="str">
        <f>IF(Инвентаризация!C373="","",Инвентаризация!G373)</f>
        <v/>
      </c>
      <c r="G373" s="12" t="str">
        <f t="shared" si="25"/>
        <v/>
      </c>
      <c r="H373" s="13" t="str">
        <f t="shared" si="26"/>
        <v/>
      </c>
      <c r="I373" s="12" t="str">
        <f t="shared" si="27"/>
        <v/>
      </c>
      <c r="J373" s="12" t="str">
        <f t="shared" si="28"/>
        <v/>
      </c>
      <c r="K373" s="12" t="str">
        <f t="shared" si="29"/>
        <v/>
      </c>
      <c r="L373" s="10" t="str">
        <f>IF(Инвентаризация!C373="","",Инвентаризация!M373)</f>
        <v/>
      </c>
      <c r="M373" s="10" t="str">
        <f>IF(Инвентаризация!C373="","",Инвентаризация!N373)</f>
        <v/>
      </c>
      <c r="N373" s="10" t="str">
        <f>IF(Инвентаризация!C373="","",Инвентаризация!O373)</f>
        <v/>
      </c>
      <c r="O373" s="10" t="str">
        <f>IF(Инвентаризация!C373="","",Инвентаризация!P373)</f>
        <v/>
      </c>
      <c r="P373" s="8" t="str">
        <f>IF(Инвентаризация!C373="","",Инвентаризация!Q373)</f>
        <v/>
      </c>
    </row>
    <row r="374" spans="1:16">
      <c r="A374" s="10" t="str">
        <f>IF(Инвентаризация!C374="","",Инвентаризация!B374)</f>
        <v/>
      </c>
      <c r="B374" s="10" t="str">
        <f>IF(Инвентаризация!C374="","",Инвентаризация!C374)</f>
        <v/>
      </c>
      <c r="C374" s="5" t="str">
        <f>IF(Инвентаризация!C374="","",Инвентаризация!D374)</f>
        <v/>
      </c>
      <c r="D374" s="11" t="str">
        <f>IF(Инвентаризация!C374="","",Инвентаризация!E374)</f>
        <v/>
      </c>
      <c r="E374" s="12" t="str">
        <f>IF(Инвентаризация!C374="","",Инвентаризация!F374)</f>
        <v/>
      </c>
      <c r="F374" s="12" t="str">
        <f>IF(Инвентаризация!C374="","",Инвентаризация!G374)</f>
        <v/>
      </c>
      <c r="G374" s="12" t="str">
        <f t="shared" si="25"/>
        <v/>
      </c>
      <c r="H374" s="13" t="str">
        <f t="shared" si="26"/>
        <v/>
      </c>
      <c r="I374" s="12" t="str">
        <f t="shared" si="27"/>
        <v/>
      </c>
      <c r="J374" s="12" t="str">
        <f t="shared" si="28"/>
        <v/>
      </c>
      <c r="K374" s="12" t="str">
        <f t="shared" si="29"/>
        <v/>
      </c>
      <c r="L374" s="10" t="str">
        <f>IF(Инвентаризация!C374="","",Инвентаризация!M374)</f>
        <v/>
      </c>
      <c r="M374" s="10" t="str">
        <f>IF(Инвентаризация!C374="","",Инвентаризация!N374)</f>
        <v/>
      </c>
      <c r="N374" s="10" t="str">
        <f>IF(Инвентаризация!C374="","",Инвентаризация!O374)</f>
        <v/>
      </c>
      <c r="O374" s="10" t="str">
        <f>IF(Инвентаризация!C374="","",Инвентаризация!P374)</f>
        <v/>
      </c>
      <c r="P374" s="8" t="str">
        <f>IF(Инвентаризация!C374="","",Инвентаризация!Q374)</f>
        <v/>
      </c>
    </row>
    <row r="375" spans="1:16">
      <c r="A375" s="10" t="str">
        <f>IF(Инвентаризация!C375="","",Инвентаризация!B375)</f>
        <v/>
      </c>
      <c r="B375" s="10" t="str">
        <f>IF(Инвентаризация!C375="","",Инвентаризация!C375)</f>
        <v/>
      </c>
      <c r="C375" s="5" t="str">
        <f>IF(Инвентаризация!C375="","",Инвентаризация!D375)</f>
        <v/>
      </c>
      <c r="D375" s="11" t="str">
        <f>IF(Инвентаризация!C375="","",Инвентаризация!E375)</f>
        <v/>
      </c>
      <c r="E375" s="12" t="str">
        <f>IF(Инвентаризация!C375="","",Инвентаризация!F375)</f>
        <v/>
      </c>
      <c r="F375" s="12" t="str">
        <f>IF(Инвентаризация!C375="","",Инвентаризация!G375)</f>
        <v/>
      </c>
      <c r="G375" s="12" t="str">
        <f t="shared" si="25"/>
        <v/>
      </c>
      <c r="H375" s="13" t="str">
        <f t="shared" si="26"/>
        <v/>
      </c>
      <c r="I375" s="12" t="str">
        <f t="shared" si="27"/>
        <v/>
      </c>
      <c r="J375" s="12" t="str">
        <f t="shared" si="28"/>
        <v/>
      </c>
      <c r="K375" s="12" t="str">
        <f t="shared" si="29"/>
        <v/>
      </c>
      <c r="L375" s="10" t="str">
        <f>IF(Инвентаризация!C375="","",Инвентаризация!M375)</f>
        <v/>
      </c>
      <c r="M375" s="10" t="str">
        <f>IF(Инвентаризация!C375="","",Инвентаризация!N375)</f>
        <v/>
      </c>
      <c r="N375" s="10" t="str">
        <f>IF(Инвентаризация!C375="","",Инвентаризация!O375)</f>
        <v/>
      </c>
      <c r="O375" s="10" t="str">
        <f>IF(Инвентаризация!C375="","",Инвентаризация!P375)</f>
        <v/>
      </c>
      <c r="P375" s="8" t="str">
        <f>IF(Инвентаризация!C375="","",Инвентаризация!Q375)</f>
        <v/>
      </c>
    </row>
    <row r="376" spans="1:16">
      <c r="A376" s="10" t="str">
        <f>IF(Инвентаризация!C376="","",Инвентаризация!B376)</f>
        <v/>
      </c>
      <c r="B376" s="10" t="str">
        <f>IF(Инвентаризация!C376="","",Инвентаризация!C376)</f>
        <v/>
      </c>
      <c r="C376" s="5" t="str">
        <f>IF(Инвентаризация!C376="","",Инвентаризация!D376)</f>
        <v/>
      </c>
      <c r="D376" s="11" t="str">
        <f>IF(Инвентаризация!C376="","",Инвентаризация!E376)</f>
        <v/>
      </c>
      <c r="E376" s="12" t="str">
        <f>IF(Инвентаризация!C376="","",Инвентаризация!F376)</f>
        <v/>
      </c>
      <c r="F376" s="12" t="str">
        <f>IF(Инвентаризация!C376="","",Инвентаризация!G376)</f>
        <v/>
      </c>
      <c r="G376" s="12" t="str">
        <f t="shared" si="25"/>
        <v/>
      </c>
      <c r="H376" s="13" t="str">
        <f t="shared" si="26"/>
        <v/>
      </c>
      <c r="I376" s="12" t="str">
        <f t="shared" si="27"/>
        <v/>
      </c>
      <c r="J376" s="12" t="str">
        <f t="shared" si="28"/>
        <v/>
      </c>
      <c r="K376" s="12" t="str">
        <f t="shared" si="29"/>
        <v/>
      </c>
      <c r="L376" s="10" t="str">
        <f>IF(Инвентаризация!C376="","",Инвентаризация!M376)</f>
        <v/>
      </c>
      <c r="M376" s="10" t="str">
        <f>IF(Инвентаризация!C376="","",Инвентаризация!N376)</f>
        <v/>
      </c>
      <c r="N376" s="10" t="str">
        <f>IF(Инвентаризация!C376="","",Инвентаризация!O376)</f>
        <v/>
      </c>
      <c r="O376" s="10" t="str">
        <f>IF(Инвентаризация!C376="","",Инвентаризация!P376)</f>
        <v/>
      </c>
      <c r="P376" s="8" t="str">
        <f>IF(Инвентаризация!C376="","",Инвентаризация!Q376)</f>
        <v/>
      </c>
    </row>
    <row r="377" spans="1:16">
      <c r="A377" s="10" t="str">
        <f>IF(Инвентаризация!C377="","",Инвентаризация!B377)</f>
        <v/>
      </c>
      <c r="B377" s="10" t="str">
        <f>IF(Инвентаризация!C377="","",Инвентаризация!C377)</f>
        <v/>
      </c>
      <c r="C377" s="5" t="str">
        <f>IF(Инвентаризация!C377="","",Инвентаризация!D377)</f>
        <v/>
      </c>
      <c r="D377" s="11" t="str">
        <f>IF(Инвентаризация!C377="","",Инвентаризация!E377)</f>
        <v/>
      </c>
      <c r="E377" s="12" t="str">
        <f>IF(Инвентаризация!C377="","",Инвентаризация!F377)</f>
        <v/>
      </c>
      <c r="F377" s="12" t="str">
        <f>IF(Инвентаризация!C377="","",Инвентаризация!G377)</f>
        <v/>
      </c>
      <c r="G377" s="12" t="str">
        <f t="shared" si="25"/>
        <v/>
      </c>
      <c r="H377" s="13" t="str">
        <f t="shared" si="26"/>
        <v/>
      </c>
      <c r="I377" s="12" t="str">
        <f t="shared" si="27"/>
        <v/>
      </c>
      <c r="J377" s="12" t="str">
        <f t="shared" si="28"/>
        <v/>
      </c>
      <c r="K377" s="12" t="str">
        <f t="shared" si="29"/>
        <v/>
      </c>
      <c r="L377" s="10" t="str">
        <f>IF(Инвентаризация!C377="","",Инвентаризация!M377)</f>
        <v/>
      </c>
      <c r="M377" s="10" t="str">
        <f>IF(Инвентаризация!C377="","",Инвентаризация!N377)</f>
        <v/>
      </c>
      <c r="N377" s="10" t="str">
        <f>IF(Инвентаризация!C377="","",Инвентаризация!O377)</f>
        <v/>
      </c>
      <c r="O377" s="10" t="str">
        <f>IF(Инвентаризация!C377="","",Инвентаризация!P377)</f>
        <v/>
      </c>
      <c r="P377" s="8" t="str">
        <f>IF(Инвентаризация!C377="","",Инвентаризация!Q377)</f>
        <v/>
      </c>
    </row>
    <row r="378" spans="1:16">
      <c r="A378" s="10" t="str">
        <f>IF(Инвентаризация!C378="","",Инвентаризация!B378)</f>
        <v/>
      </c>
      <c r="B378" s="10" t="str">
        <f>IF(Инвентаризация!C378="","",Инвентаризация!C378)</f>
        <v/>
      </c>
      <c r="C378" s="5" t="str">
        <f>IF(Инвентаризация!C378="","",Инвентаризация!D378)</f>
        <v/>
      </c>
      <c r="D378" s="11" t="str">
        <f>IF(Инвентаризация!C378="","",Инвентаризация!E378)</f>
        <v/>
      </c>
      <c r="E378" s="12" t="str">
        <f>IF(Инвентаризация!C378="","",Инвентаризация!F378)</f>
        <v/>
      </c>
      <c r="F378" s="12" t="str">
        <f>IF(Инвентаризация!C378="","",Инвентаризация!G378)</f>
        <v/>
      </c>
      <c r="G378" s="12" t="str">
        <f t="shared" si="25"/>
        <v/>
      </c>
      <c r="H378" s="13" t="str">
        <f t="shared" si="26"/>
        <v/>
      </c>
      <c r="I378" s="12" t="str">
        <f t="shared" si="27"/>
        <v/>
      </c>
      <c r="J378" s="12" t="str">
        <f t="shared" si="28"/>
        <v/>
      </c>
      <c r="K378" s="12" t="str">
        <f t="shared" si="29"/>
        <v/>
      </c>
      <c r="L378" s="10" t="str">
        <f>IF(Инвентаризация!C378="","",Инвентаризация!M378)</f>
        <v/>
      </c>
      <c r="M378" s="10" t="str">
        <f>IF(Инвентаризация!C378="","",Инвентаризация!N378)</f>
        <v/>
      </c>
      <c r="N378" s="10" t="str">
        <f>IF(Инвентаризация!C378="","",Инвентаризация!O378)</f>
        <v/>
      </c>
      <c r="O378" s="10" t="str">
        <f>IF(Инвентаризация!C378="","",Инвентаризация!P378)</f>
        <v/>
      </c>
      <c r="P378" s="8" t="str">
        <f>IF(Инвентаризация!C378="","",Инвентаризация!Q378)</f>
        <v/>
      </c>
    </row>
    <row r="379" spans="1:16">
      <c r="A379" s="10" t="str">
        <f>IF(Инвентаризация!C379="","",Инвентаризация!B379)</f>
        <v/>
      </c>
      <c r="B379" s="10" t="str">
        <f>IF(Инвентаризация!C379="","",Инвентаризация!C379)</f>
        <v/>
      </c>
      <c r="C379" s="5" t="str">
        <f>IF(Инвентаризация!C379="","",Инвентаризация!D379)</f>
        <v/>
      </c>
      <c r="D379" s="11" t="str">
        <f>IF(Инвентаризация!C379="","",Инвентаризация!E379)</f>
        <v/>
      </c>
      <c r="E379" s="12" t="str">
        <f>IF(Инвентаризация!C379="","",Инвентаризация!F379)</f>
        <v/>
      </c>
      <c r="F379" s="12" t="str">
        <f>IF(Инвентаризация!C379="","",Инвентаризация!G379)</f>
        <v/>
      </c>
      <c r="G379" s="12" t="str">
        <f t="shared" si="25"/>
        <v/>
      </c>
      <c r="H379" s="13" t="str">
        <f t="shared" si="26"/>
        <v/>
      </c>
      <c r="I379" s="12" t="str">
        <f t="shared" si="27"/>
        <v/>
      </c>
      <c r="J379" s="12" t="str">
        <f t="shared" si="28"/>
        <v/>
      </c>
      <c r="K379" s="12" t="str">
        <f t="shared" si="29"/>
        <v/>
      </c>
      <c r="L379" s="10" t="str">
        <f>IF(Инвентаризация!C379="","",Инвентаризация!M379)</f>
        <v/>
      </c>
      <c r="M379" s="10" t="str">
        <f>IF(Инвентаризация!C379="","",Инвентаризация!N379)</f>
        <v/>
      </c>
      <c r="N379" s="10" t="str">
        <f>IF(Инвентаризация!C379="","",Инвентаризация!O379)</f>
        <v/>
      </c>
      <c r="O379" s="10" t="str">
        <f>IF(Инвентаризация!C379="","",Инвентаризация!P379)</f>
        <v/>
      </c>
      <c r="P379" s="8" t="str">
        <f>IF(Инвентаризация!C379="","",Инвентаризация!Q379)</f>
        <v/>
      </c>
    </row>
    <row r="380" spans="1:16">
      <c r="A380" s="10" t="str">
        <f>IF(Инвентаризация!C380="","",Инвентаризация!B380)</f>
        <v/>
      </c>
      <c r="B380" s="10" t="str">
        <f>IF(Инвентаризация!C380="","",Инвентаризация!C380)</f>
        <v/>
      </c>
      <c r="C380" s="5" t="str">
        <f>IF(Инвентаризация!C380="","",Инвентаризация!D380)</f>
        <v/>
      </c>
      <c r="D380" s="11" t="str">
        <f>IF(Инвентаризация!C380="","",Инвентаризация!E380)</f>
        <v/>
      </c>
      <c r="E380" s="12" t="str">
        <f>IF(Инвентаризация!C380="","",Инвентаризация!F380)</f>
        <v/>
      </c>
      <c r="F380" s="12" t="str">
        <f>IF(Инвентаризация!C380="","",Инвентаризация!G380)</f>
        <v/>
      </c>
      <c r="G380" s="12" t="str">
        <f t="shared" si="25"/>
        <v/>
      </c>
      <c r="H380" s="13" t="str">
        <f t="shared" si="26"/>
        <v/>
      </c>
      <c r="I380" s="12" t="str">
        <f t="shared" si="27"/>
        <v/>
      </c>
      <c r="J380" s="12" t="str">
        <f t="shared" si="28"/>
        <v/>
      </c>
      <c r="K380" s="12" t="str">
        <f t="shared" si="29"/>
        <v/>
      </c>
      <c r="L380" s="10" t="str">
        <f>IF(Инвентаризация!C380="","",Инвентаризация!M380)</f>
        <v/>
      </c>
      <c r="M380" s="10" t="str">
        <f>IF(Инвентаризация!C380="","",Инвентаризация!N380)</f>
        <v/>
      </c>
      <c r="N380" s="10" t="str">
        <f>IF(Инвентаризация!C380="","",Инвентаризация!O380)</f>
        <v/>
      </c>
      <c r="O380" s="10" t="str">
        <f>IF(Инвентаризация!C380="","",Инвентаризация!P380)</f>
        <v/>
      </c>
      <c r="P380" s="8" t="str">
        <f>IF(Инвентаризация!C380="","",Инвентаризация!Q380)</f>
        <v/>
      </c>
    </row>
    <row r="381" spans="1:16">
      <c r="A381" s="10" t="str">
        <f>IF(Инвентаризация!C381="","",Инвентаризация!B381)</f>
        <v/>
      </c>
      <c r="B381" s="10" t="str">
        <f>IF(Инвентаризация!C381="","",Инвентаризация!C381)</f>
        <v/>
      </c>
      <c r="C381" s="5" t="str">
        <f>IF(Инвентаризация!C381="","",Инвентаризация!D381)</f>
        <v/>
      </c>
      <c r="D381" s="11" t="str">
        <f>IF(Инвентаризация!C381="","",Инвентаризация!E381)</f>
        <v/>
      </c>
      <c r="E381" s="12" t="str">
        <f>IF(Инвентаризация!C381="","",Инвентаризация!F381)</f>
        <v/>
      </c>
      <c r="F381" s="12" t="str">
        <f>IF(Инвентаризация!C381="","",Инвентаризация!G381)</f>
        <v/>
      </c>
      <c r="G381" s="12" t="str">
        <f t="shared" si="25"/>
        <v/>
      </c>
      <c r="H381" s="13" t="str">
        <f t="shared" si="26"/>
        <v/>
      </c>
      <c r="I381" s="12" t="str">
        <f t="shared" si="27"/>
        <v/>
      </c>
      <c r="J381" s="12" t="str">
        <f t="shared" si="28"/>
        <v/>
      </c>
      <c r="K381" s="12" t="str">
        <f t="shared" si="29"/>
        <v/>
      </c>
      <c r="L381" s="10" t="str">
        <f>IF(Инвентаризация!C381="","",Инвентаризация!M381)</f>
        <v/>
      </c>
      <c r="M381" s="10" t="str">
        <f>IF(Инвентаризация!C381="","",Инвентаризация!N381)</f>
        <v/>
      </c>
      <c r="N381" s="10" t="str">
        <f>IF(Инвентаризация!C381="","",Инвентаризация!O381)</f>
        <v/>
      </c>
      <c r="O381" s="10" t="str">
        <f>IF(Инвентаризация!C381="","",Инвентаризация!P381)</f>
        <v/>
      </c>
      <c r="P381" s="8" t="str">
        <f>IF(Инвентаризация!C381="","",Инвентаризация!Q381)</f>
        <v/>
      </c>
    </row>
    <row r="382" spans="1:16">
      <c r="A382" s="10" t="str">
        <f>IF(Инвентаризация!C382="","",Инвентаризация!B382)</f>
        <v/>
      </c>
      <c r="B382" s="10" t="str">
        <f>IF(Инвентаризация!C382="","",Инвентаризация!C382)</f>
        <v/>
      </c>
      <c r="C382" s="5" t="str">
        <f>IF(Инвентаризация!C382="","",Инвентаризация!D382)</f>
        <v/>
      </c>
      <c r="D382" s="11" t="str">
        <f>IF(Инвентаризация!C382="","",Инвентаризация!E382)</f>
        <v/>
      </c>
      <c r="E382" s="12" t="str">
        <f>IF(Инвентаризация!C382="","",Инвентаризация!F382)</f>
        <v/>
      </c>
      <c r="F382" s="12" t="str">
        <f>IF(Инвентаризация!C382="","",Инвентаризация!G382)</f>
        <v/>
      </c>
      <c r="G382" s="12" t="str">
        <f t="shared" si="25"/>
        <v/>
      </c>
      <c r="H382" s="13" t="str">
        <f t="shared" si="26"/>
        <v/>
      </c>
      <c r="I382" s="12" t="str">
        <f t="shared" si="27"/>
        <v/>
      </c>
      <c r="J382" s="12" t="str">
        <f t="shared" si="28"/>
        <v/>
      </c>
      <c r="K382" s="12" t="str">
        <f t="shared" si="29"/>
        <v/>
      </c>
      <c r="L382" s="10" t="str">
        <f>IF(Инвентаризация!C382="","",Инвентаризация!M382)</f>
        <v/>
      </c>
      <c r="M382" s="10" t="str">
        <f>IF(Инвентаризация!C382="","",Инвентаризация!N382)</f>
        <v/>
      </c>
      <c r="N382" s="10" t="str">
        <f>IF(Инвентаризация!C382="","",Инвентаризация!O382)</f>
        <v/>
      </c>
      <c r="O382" s="10" t="str">
        <f>IF(Инвентаризация!C382="","",Инвентаризация!P382)</f>
        <v/>
      </c>
      <c r="P382" s="8" t="str">
        <f>IF(Инвентаризация!C382="","",Инвентаризация!Q382)</f>
        <v/>
      </c>
    </row>
    <row r="383" spans="1:16">
      <c r="A383" s="10" t="str">
        <f>IF(Инвентаризация!C383="","",Инвентаризация!B383)</f>
        <v/>
      </c>
      <c r="B383" s="10" t="str">
        <f>IF(Инвентаризация!C383="","",Инвентаризация!C383)</f>
        <v/>
      </c>
      <c r="C383" s="5" t="str">
        <f>IF(Инвентаризация!C383="","",Инвентаризация!D383)</f>
        <v/>
      </c>
      <c r="D383" s="11" t="str">
        <f>IF(Инвентаризация!C383="","",Инвентаризация!E383)</f>
        <v/>
      </c>
      <c r="E383" s="12" t="str">
        <f>IF(Инвентаризация!C383="","",Инвентаризация!F383)</f>
        <v/>
      </c>
      <c r="F383" s="12" t="str">
        <f>IF(Инвентаризация!C383="","",Инвентаризация!G383)</f>
        <v/>
      </c>
      <c r="G383" s="12" t="str">
        <f t="shared" si="25"/>
        <v/>
      </c>
      <c r="H383" s="13" t="str">
        <f t="shared" si="26"/>
        <v/>
      </c>
      <c r="I383" s="12" t="str">
        <f t="shared" si="27"/>
        <v/>
      </c>
      <c r="J383" s="12" t="str">
        <f t="shared" si="28"/>
        <v/>
      </c>
      <c r="K383" s="12" t="str">
        <f t="shared" si="29"/>
        <v/>
      </c>
      <c r="L383" s="10" t="str">
        <f>IF(Инвентаризация!C383="","",Инвентаризация!M383)</f>
        <v/>
      </c>
      <c r="M383" s="10" t="str">
        <f>IF(Инвентаризация!C383="","",Инвентаризация!N383)</f>
        <v/>
      </c>
      <c r="N383" s="10" t="str">
        <f>IF(Инвентаризация!C383="","",Инвентаризация!O383)</f>
        <v/>
      </c>
      <c r="O383" s="10" t="str">
        <f>IF(Инвентаризация!C383="","",Инвентаризация!P383)</f>
        <v/>
      </c>
      <c r="P383" s="8" t="str">
        <f>IF(Инвентаризация!C383="","",Инвентаризация!Q383)</f>
        <v/>
      </c>
    </row>
    <row r="384" spans="1:16">
      <c r="A384" s="10" t="str">
        <f>IF(Инвентаризация!C384="","",Инвентаризация!B384)</f>
        <v/>
      </c>
      <c r="B384" s="10" t="str">
        <f>IF(Инвентаризация!C384="","",Инвентаризация!C384)</f>
        <v/>
      </c>
      <c r="C384" s="5" t="str">
        <f>IF(Инвентаризация!C384="","",Инвентаризация!D384)</f>
        <v/>
      </c>
      <c r="D384" s="11" t="str">
        <f>IF(Инвентаризация!C384="","",Инвентаризация!E384)</f>
        <v/>
      </c>
      <c r="E384" s="12" t="str">
        <f>IF(Инвентаризация!C384="","",Инвентаризация!F384)</f>
        <v/>
      </c>
      <c r="F384" s="12" t="str">
        <f>IF(Инвентаризация!C384="","",Инвентаризация!G384)</f>
        <v/>
      </c>
      <c r="G384" s="12" t="str">
        <f t="shared" si="25"/>
        <v/>
      </c>
      <c r="H384" s="13" t="str">
        <f t="shared" si="26"/>
        <v/>
      </c>
      <c r="I384" s="12" t="str">
        <f t="shared" si="27"/>
        <v/>
      </c>
      <c r="J384" s="12" t="str">
        <f t="shared" si="28"/>
        <v/>
      </c>
      <c r="K384" s="12" t="str">
        <f t="shared" si="29"/>
        <v/>
      </c>
      <c r="L384" s="10" t="str">
        <f>IF(Инвентаризация!C384="","",Инвентаризация!M384)</f>
        <v/>
      </c>
      <c r="M384" s="10" t="str">
        <f>IF(Инвентаризация!C384="","",Инвентаризация!N384)</f>
        <v/>
      </c>
      <c r="N384" s="10" t="str">
        <f>IF(Инвентаризация!C384="","",Инвентаризация!O384)</f>
        <v/>
      </c>
      <c r="O384" s="10" t="str">
        <f>IF(Инвентаризация!C384="","",Инвентаризация!P384)</f>
        <v/>
      </c>
      <c r="P384" s="8" t="str">
        <f>IF(Инвентаризация!C384="","",Инвентаризация!Q384)</f>
        <v/>
      </c>
    </row>
    <row r="385" spans="1:16">
      <c r="A385" s="10" t="str">
        <f>IF(Инвентаризация!C385="","",Инвентаризация!B385)</f>
        <v/>
      </c>
      <c r="B385" s="10" t="str">
        <f>IF(Инвентаризация!C385="","",Инвентаризация!C385)</f>
        <v/>
      </c>
      <c r="C385" s="5" t="str">
        <f>IF(Инвентаризация!C385="","",Инвентаризация!D385)</f>
        <v/>
      </c>
      <c r="D385" s="11" t="str">
        <f>IF(Инвентаризация!C385="","",Инвентаризация!E385)</f>
        <v/>
      </c>
      <c r="E385" s="12" t="str">
        <f>IF(Инвентаризация!C385="","",Инвентаризация!F385)</f>
        <v/>
      </c>
      <c r="F385" s="12" t="str">
        <f>IF(Инвентаризация!C385="","",Инвентаризация!G385)</f>
        <v/>
      </c>
      <c r="G385" s="12" t="str">
        <f t="shared" si="25"/>
        <v/>
      </c>
      <c r="H385" s="13" t="str">
        <f t="shared" si="26"/>
        <v/>
      </c>
      <c r="I385" s="12" t="str">
        <f t="shared" si="27"/>
        <v/>
      </c>
      <c r="J385" s="12" t="str">
        <f t="shared" si="28"/>
        <v/>
      </c>
      <c r="K385" s="12" t="str">
        <f t="shared" si="29"/>
        <v/>
      </c>
      <c r="L385" s="10" t="str">
        <f>IF(Инвентаризация!C385="","",Инвентаризация!M385)</f>
        <v/>
      </c>
      <c r="M385" s="10" t="str">
        <f>IF(Инвентаризация!C385="","",Инвентаризация!N385)</f>
        <v/>
      </c>
      <c r="N385" s="10" t="str">
        <f>IF(Инвентаризация!C385="","",Инвентаризация!O385)</f>
        <v/>
      </c>
      <c r="O385" s="10" t="str">
        <f>IF(Инвентаризация!C385="","",Инвентаризация!P385)</f>
        <v/>
      </c>
      <c r="P385" s="8" t="str">
        <f>IF(Инвентаризация!C385="","",Инвентаризация!Q385)</f>
        <v/>
      </c>
    </row>
    <row r="386" spans="1:16">
      <c r="A386" s="10" t="str">
        <f>IF(Инвентаризация!C386="","",Инвентаризация!B386)</f>
        <v/>
      </c>
      <c r="B386" s="10" t="str">
        <f>IF(Инвентаризация!C386="","",Инвентаризация!C386)</f>
        <v/>
      </c>
      <c r="C386" s="5" t="str">
        <f>IF(Инвентаризация!C386="","",Инвентаризация!D386)</f>
        <v/>
      </c>
      <c r="D386" s="11" t="str">
        <f>IF(Инвентаризация!C386="","",Инвентаризация!E386)</f>
        <v/>
      </c>
      <c r="E386" s="12" t="str">
        <f>IF(Инвентаризация!C386="","",Инвентаризация!F386)</f>
        <v/>
      </c>
      <c r="F386" s="12" t="str">
        <f>IF(Инвентаризация!C386="","",Инвентаризация!G386)</f>
        <v/>
      </c>
      <c r="G386" s="12" t="str">
        <f t="shared" ref="G386:G449" si="30">IF(OR(E386="",F386=""),"",F386-E386)</f>
        <v/>
      </c>
      <c r="H386" s="13" t="str">
        <f t="shared" ref="H386:H449" si="31">IFERROR(G386/F386,"")</f>
        <v/>
      </c>
      <c r="I386" s="12" t="str">
        <f t="shared" ref="I386:I449" si="32">IF(OR(D386="",E386=""),"",D386*E386)</f>
        <v/>
      </c>
      <c r="J386" s="12" t="str">
        <f t="shared" ref="J386:J449" si="33">IF(OR(D386="",F386=""),"",D386*F386)</f>
        <v/>
      </c>
      <c r="K386" s="12" t="str">
        <f t="shared" ref="K386:K449" si="34">IF(OR(D386="",G386=""),"",D386*G386)</f>
        <v/>
      </c>
      <c r="L386" s="10" t="str">
        <f>IF(Инвентаризация!C386="","",Инвентаризация!M386)</f>
        <v/>
      </c>
      <c r="M386" s="10" t="str">
        <f>IF(Инвентаризация!C386="","",Инвентаризация!N386)</f>
        <v/>
      </c>
      <c r="N386" s="10" t="str">
        <f>IF(Инвентаризация!C386="","",Инвентаризация!O386)</f>
        <v/>
      </c>
      <c r="O386" s="10" t="str">
        <f>IF(Инвентаризация!C386="","",Инвентаризация!P386)</f>
        <v/>
      </c>
      <c r="P386" s="8" t="str">
        <f>IF(Инвентаризация!C386="","",Инвентаризация!Q386)</f>
        <v/>
      </c>
    </row>
    <row r="387" spans="1:16">
      <c r="A387" s="10" t="str">
        <f>IF(Инвентаризация!C387="","",Инвентаризация!B387)</f>
        <v/>
      </c>
      <c r="B387" s="10" t="str">
        <f>IF(Инвентаризация!C387="","",Инвентаризация!C387)</f>
        <v/>
      </c>
      <c r="C387" s="5" t="str">
        <f>IF(Инвентаризация!C387="","",Инвентаризация!D387)</f>
        <v/>
      </c>
      <c r="D387" s="11" t="str">
        <f>IF(Инвентаризация!C387="","",Инвентаризация!E387)</f>
        <v/>
      </c>
      <c r="E387" s="12" t="str">
        <f>IF(Инвентаризация!C387="","",Инвентаризация!F387)</f>
        <v/>
      </c>
      <c r="F387" s="12" t="str">
        <f>IF(Инвентаризация!C387="","",Инвентаризация!G387)</f>
        <v/>
      </c>
      <c r="G387" s="12" t="str">
        <f t="shared" si="30"/>
        <v/>
      </c>
      <c r="H387" s="13" t="str">
        <f t="shared" si="31"/>
        <v/>
      </c>
      <c r="I387" s="12" t="str">
        <f t="shared" si="32"/>
        <v/>
      </c>
      <c r="J387" s="12" t="str">
        <f t="shared" si="33"/>
        <v/>
      </c>
      <c r="K387" s="12" t="str">
        <f t="shared" si="34"/>
        <v/>
      </c>
      <c r="L387" s="10" t="str">
        <f>IF(Инвентаризация!C387="","",Инвентаризация!M387)</f>
        <v/>
      </c>
      <c r="M387" s="10" t="str">
        <f>IF(Инвентаризация!C387="","",Инвентаризация!N387)</f>
        <v/>
      </c>
      <c r="N387" s="10" t="str">
        <f>IF(Инвентаризация!C387="","",Инвентаризация!O387)</f>
        <v/>
      </c>
      <c r="O387" s="10" t="str">
        <f>IF(Инвентаризация!C387="","",Инвентаризация!P387)</f>
        <v/>
      </c>
      <c r="P387" s="8" t="str">
        <f>IF(Инвентаризация!C387="","",Инвентаризация!Q387)</f>
        <v/>
      </c>
    </row>
    <row r="388" spans="1:16">
      <c r="A388" s="10" t="str">
        <f>IF(Инвентаризация!C388="","",Инвентаризация!B388)</f>
        <v/>
      </c>
      <c r="B388" s="10" t="str">
        <f>IF(Инвентаризация!C388="","",Инвентаризация!C388)</f>
        <v/>
      </c>
      <c r="C388" s="5" t="str">
        <f>IF(Инвентаризация!C388="","",Инвентаризация!D388)</f>
        <v/>
      </c>
      <c r="D388" s="11" t="str">
        <f>IF(Инвентаризация!C388="","",Инвентаризация!E388)</f>
        <v/>
      </c>
      <c r="E388" s="12" t="str">
        <f>IF(Инвентаризация!C388="","",Инвентаризация!F388)</f>
        <v/>
      </c>
      <c r="F388" s="12" t="str">
        <f>IF(Инвентаризация!C388="","",Инвентаризация!G388)</f>
        <v/>
      </c>
      <c r="G388" s="12" t="str">
        <f t="shared" si="30"/>
        <v/>
      </c>
      <c r="H388" s="13" t="str">
        <f t="shared" si="31"/>
        <v/>
      </c>
      <c r="I388" s="12" t="str">
        <f t="shared" si="32"/>
        <v/>
      </c>
      <c r="J388" s="12" t="str">
        <f t="shared" si="33"/>
        <v/>
      </c>
      <c r="K388" s="12" t="str">
        <f t="shared" si="34"/>
        <v/>
      </c>
      <c r="L388" s="10" t="str">
        <f>IF(Инвентаризация!C388="","",Инвентаризация!M388)</f>
        <v/>
      </c>
      <c r="M388" s="10" t="str">
        <f>IF(Инвентаризация!C388="","",Инвентаризация!N388)</f>
        <v/>
      </c>
      <c r="N388" s="10" t="str">
        <f>IF(Инвентаризация!C388="","",Инвентаризация!O388)</f>
        <v/>
      </c>
      <c r="O388" s="10" t="str">
        <f>IF(Инвентаризация!C388="","",Инвентаризация!P388)</f>
        <v/>
      </c>
      <c r="P388" s="8" t="str">
        <f>IF(Инвентаризация!C388="","",Инвентаризация!Q388)</f>
        <v/>
      </c>
    </row>
    <row r="389" spans="1:16">
      <c r="A389" s="10" t="str">
        <f>IF(Инвентаризация!C389="","",Инвентаризация!B389)</f>
        <v/>
      </c>
      <c r="B389" s="10" t="str">
        <f>IF(Инвентаризация!C389="","",Инвентаризация!C389)</f>
        <v/>
      </c>
      <c r="C389" s="5" t="str">
        <f>IF(Инвентаризация!C389="","",Инвентаризация!D389)</f>
        <v/>
      </c>
      <c r="D389" s="11" t="str">
        <f>IF(Инвентаризация!C389="","",Инвентаризация!E389)</f>
        <v/>
      </c>
      <c r="E389" s="12" t="str">
        <f>IF(Инвентаризация!C389="","",Инвентаризация!F389)</f>
        <v/>
      </c>
      <c r="F389" s="12" t="str">
        <f>IF(Инвентаризация!C389="","",Инвентаризация!G389)</f>
        <v/>
      </c>
      <c r="G389" s="12" t="str">
        <f t="shared" si="30"/>
        <v/>
      </c>
      <c r="H389" s="13" t="str">
        <f t="shared" si="31"/>
        <v/>
      </c>
      <c r="I389" s="12" t="str">
        <f t="shared" si="32"/>
        <v/>
      </c>
      <c r="J389" s="12" t="str">
        <f t="shared" si="33"/>
        <v/>
      </c>
      <c r="K389" s="12" t="str">
        <f t="shared" si="34"/>
        <v/>
      </c>
      <c r="L389" s="10" t="str">
        <f>IF(Инвентаризация!C389="","",Инвентаризация!M389)</f>
        <v/>
      </c>
      <c r="M389" s="10" t="str">
        <f>IF(Инвентаризация!C389="","",Инвентаризация!N389)</f>
        <v/>
      </c>
      <c r="N389" s="10" t="str">
        <f>IF(Инвентаризация!C389="","",Инвентаризация!O389)</f>
        <v/>
      </c>
      <c r="O389" s="10" t="str">
        <f>IF(Инвентаризация!C389="","",Инвентаризация!P389)</f>
        <v/>
      </c>
      <c r="P389" s="8" t="str">
        <f>IF(Инвентаризация!C389="","",Инвентаризация!Q389)</f>
        <v/>
      </c>
    </row>
    <row r="390" spans="1:16">
      <c r="A390" s="10" t="str">
        <f>IF(Инвентаризация!C390="","",Инвентаризация!B390)</f>
        <v/>
      </c>
      <c r="B390" s="10" t="str">
        <f>IF(Инвентаризация!C390="","",Инвентаризация!C390)</f>
        <v/>
      </c>
      <c r="C390" s="5" t="str">
        <f>IF(Инвентаризация!C390="","",Инвентаризация!D390)</f>
        <v/>
      </c>
      <c r="D390" s="11" t="str">
        <f>IF(Инвентаризация!C390="","",Инвентаризация!E390)</f>
        <v/>
      </c>
      <c r="E390" s="12" t="str">
        <f>IF(Инвентаризация!C390="","",Инвентаризация!F390)</f>
        <v/>
      </c>
      <c r="F390" s="12" t="str">
        <f>IF(Инвентаризация!C390="","",Инвентаризация!G390)</f>
        <v/>
      </c>
      <c r="G390" s="12" t="str">
        <f t="shared" si="30"/>
        <v/>
      </c>
      <c r="H390" s="13" t="str">
        <f t="shared" si="31"/>
        <v/>
      </c>
      <c r="I390" s="12" t="str">
        <f t="shared" si="32"/>
        <v/>
      </c>
      <c r="J390" s="12" t="str">
        <f t="shared" si="33"/>
        <v/>
      </c>
      <c r="K390" s="12" t="str">
        <f t="shared" si="34"/>
        <v/>
      </c>
      <c r="L390" s="10" t="str">
        <f>IF(Инвентаризация!C390="","",Инвентаризация!M390)</f>
        <v/>
      </c>
      <c r="M390" s="10" t="str">
        <f>IF(Инвентаризация!C390="","",Инвентаризация!N390)</f>
        <v/>
      </c>
      <c r="N390" s="10" t="str">
        <f>IF(Инвентаризация!C390="","",Инвентаризация!O390)</f>
        <v/>
      </c>
      <c r="O390" s="10" t="str">
        <f>IF(Инвентаризация!C390="","",Инвентаризация!P390)</f>
        <v/>
      </c>
      <c r="P390" s="8" t="str">
        <f>IF(Инвентаризация!C390="","",Инвентаризация!Q390)</f>
        <v/>
      </c>
    </row>
    <row r="391" spans="1:16">
      <c r="A391" s="10" t="str">
        <f>IF(Инвентаризация!C391="","",Инвентаризация!B391)</f>
        <v/>
      </c>
      <c r="B391" s="10" t="str">
        <f>IF(Инвентаризация!C391="","",Инвентаризация!C391)</f>
        <v/>
      </c>
      <c r="C391" s="5" t="str">
        <f>IF(Инвентаризация!C391="","",Инвентаризация!D391)</f>
        <v/>
      </c>
      <c r="D391" s="11" t="str">
        <f>IF(Инвентаризация!C391="","",Инвентаризация!E391)</f>
        <v/>
      </c>
      <c r="E391" s="12" t="str">
        <f>IF(Инвентаризация!C391="","",Инвентаризация!F391)</f>
        <v/>
      </c>
      <c r="F391" s="12" t="str">
        <f>IF(Инвентаризация!C391="","",Инвентаризация!G391)</f>
        <v/>
      </c>
      <c r="G391" s="12" t="str">
        <f t="shared" si="30"/>
        <v/>
      </c>
      <c r="H391" s="13" t="str">
        <f t="shared" si="31"/>
        <v/>
      </c>
      <c r="I391" s="12" t="str">
        <f t="shared" si="32"/>
        <v/>
      </c>
      <c r="J391" s="12" t="str">
        <f t="shared" si="33"/>
        <v/>
      </c>
      <c r="K391" s="12" t="str">
        <f t="shared" si="34"/>
        <v/>
      </c>
      <c r="L391" s="10" t="str">
        <f>IF(Инвентаризация!C391="","",Инвентаризация!M391)</f>
        <v/>
      </c>
      <c r="M391" s="10" t="str">
        <f>IF(Инвентаризация!C391="","",Инвентаризация!N391)</f>
        <v/>
      </c>
      <c r="N391" s="10" t="str">
        <f>IF(Инвентаризация!C391="","",Инвентаризация!O391)</f>
        <v/>
      </c>
      <c r="O391" s="10" t="str">
        <f>IF(Инвентаризация!C391="","",Инвентаризация!P391)</f>
        <v/>
      </c>
      <c r="P391" s="8" t="str">
        <f>IF(Инвентаризация!C391="","",Инвентаризация!Q391)</f>
        <v/>
      </c>
    </row>
    <row r="392" spans="1:16">
      <c r="A392" s="10" t="str">
        <f>IF(Инвентаризация!C392="","",Инвентаризация!B392)</f>
        <v/>
      </c>
      <c r="B392" s="10" t="str">
        <f>IF(Инвентаризация!C392="","",Инвентаризация!C392)</f>
        <v/>
      </c>
      <c r="C392" s="5" t="str">
        <f>IF(Инвентаризация!C392="","",Инвентаризация!D392)</f>
        <v/>
      </c>
      <c r="D392" s="11" t="str">
        <f>IF(Инвентаризация!C392="","",Инвентаризация!E392)</f>
        <v/>
      </c>
      <c r="E392" s="12" t="str">
        <f>IF(Инвентаризация!C392="","",Инвентаризация!F392)</f>
        <v/>
      </c>
      <c r="F392" s="12" t="str">
        <f>IF(Инвентаризация!C392="","",Инвентаризация!G392)</f>
        <v/>
      </c>
      <c r="G392" s="12" t="str">
        <f t="shared" si="30"/>
        <v/>
      </c>
      <c r="H392" s="13" t="str">
        <f t="shared" si="31"/>
        <v/>
      </c>
      <c r="I392" s="12" t="str">
        <f t="shared" si="32"/>
        <v/>
      </c>
      <c r="J392" s="12" t="str">
        <f t="shared" si="33"/>
        <v/>
      </c>
      <c r="K392" s="12" t="str">
        <f t="shared" si="34"/>
        <v/>
      </c>
      <c r="L392" s="10" t="str">
        <f>IF(Инвентаризация!C392="","",Инвентаризация!M392)</f>
        <v/>
      </c>
      <c r="M392" s="10" t="str">
        <f>IF(Инвентаризация!C392="","",Инвентаризация!N392)</f>
        <v/>
      </c>
      <c r="N392" s="10" t="str">
        <f>IF(Инвентаризация!C392="","",Инвентаризация!O392)</f>
        <v/>
      </c>
      <c r="O392" s="10" t="str">
        <f>IF(Инвентаризация!C392="","",Инвентаризация!P392)</f>
        <v/>
      </c>
      <c r="P392" s="8" t="str">
        <f>IF(Инвентаризация!C392="","",Инвентаризация!Q392)</f>
        <v/>
      </c>
    </row>
    <row r="393" spans="1:16">
      <c r="A393" s="10" t="str">
        <f>IF(Инвентаризация!C393="","",Инвентаризация!B393)</f>
        <v/>
      </c>
      <c r="B393" s="10" t="str">
        <f>IF(Инвентаризация!C393="","",Инвентаризация!C393)</f>
        <v/>
      </c>
      <c r="C393" s="5" t="str">
        <f>IF(Инвентаризация!C393="","",Инвентаризация!D393)</f>
        <v/>
      </c>
      <c r="D393" s="11" t="str">
        <f>IF(Инвентаризация!C393="","",Инвентаризация!E393)</f>
        <v/>
      </c>
      <c r="E393" s="12" t="str">
        <f>IF(Инвентаризация!C393="","",Инвентаризация!F393)</f>
        <v/>
      </c>
      <c r="F393" s="12" t="str">
        <f>IF(Инвентаризация!C393="","",Инвентаризация!G393)</f>
        <v/>
      </c>
      <c r="G393" s="12" t="str">
        <f t="shared" si="30"/>
        <v/>
      </c>
      <c r="H393" s="13" t="str">
        <f t="shared" si="31"/>
        <v/>
      </c>
      <c r="I393" s="12" t="str">
        <f t="shared" si="32"/>
        <v/>
      </c>
      <c r="J393" s="12" t="str">
        <f t="shared" si="33"/>
        <v/>
      </c>
      <c r="K393" s="12" t="str">
        <f t="shared" si="34"/>
        <v/>
      </c>
      <c r="L393" s="10" t="str">
        <f>IF(Инвентаризация!C393="","",Инвентаризация!M393)</f>
        <v/>
      </c>
      <c r="M393" s="10" t="str">
        <f>IF(Инвентаризация!C393="","",Инвентаризация!N393)</f>
        <v/>
      </c>
      <c r="N393" s="10" t="str">
        <f>IF(Инвентаризация!C393="","",Инвентаризация!O393)</f>
        <v/>
      </c>
      <c r="O393" s="10" t="str">
        <f>IF(Инвентаризация!C393="","",Инвентаризация!P393)</f>
        <v/>
      </c>
      <c r="P393" s="8" t="str">
        <f>IF(Инвентаризация!C393="","",Инвентаризация!Q393)</f>
        <v/>
      </c>
    </row>
    <row r="394" spans="1:16">
      <c r="A394" s="10" t="str">
        <f>IF(Инвентаризация!C394="","",Инвентаризация!B394)</f>
        <v/>
      </c>
      <c r="B394" s="10" t="str">
        <f>IF(Инвентаризация!C394="","",Инвентаризация!C394)</f>
        <v/>
      </c>
      <c r="C394" s="5" t="str">
        <f>IF(Инвентаризация!C394="","",Инвентаризация!D394)</f>
        <v/>
      </c>
      <c r="D394" s="11" t="str">
        <f>IF(Инвентаризация!C394="","",Инвентаризация!E394)</f>
        <v/>
      </c>
      <c r="E394" s="12" t="str">
        <f>IF(Инвентаризация!C394="","",Инвентаризация!F394)</f>
        <v/>
      </c>
      <c r="F394" s="12" t="str">
        <f>IF(Инвентаризация!C394="","",Инвентаризация!G394)</f>
        <v/>
      </c>
      <c r="G394" s="12" t="str">
        <f t="shared" si="30"/>
        <v/>
      </c>
      <c r="H394" s="13" t="str">
        <f t="shared" si="31"/>
        <v/>
      </c>
      <c r="I394" s="12" t="str">
        <f t="shared" si="32"/>
        <v/>
      </c>
      <c r="J394" s="12" t="str">
        <f t="shared" si="33"/>
        <v/>
      </c>
      <c r="K394" s="12" t="str">
        <f t="shared" si="34"/>
        <v/>
      </c>
      <c r="L394" s="10" t="str">
        <f>IF(Инвентаризация!C394="","",Инвентаризация!M394)</f>
        <v/>
      </c>
      <c r="M394" s="10" t="str">
        <f>IF(Инвентаризация!C394="","",Инвентаризация!N394)</f>
        <v/>
      </c>
      <c r="N394" s="10" t="str">
        <f>IF(Инвентаризация!C394="","",Инвентаризация!O394)</f>
        <v/>
      </c>
      <c r="O394" s="10" t="str">
        <f>IF(Инвентаризация!C394="","",Инвентаризация!P394)</f>
        <v/>
      </c>
      <c r="P394" s="8" t="str">
        <f>IF(Инвентаризация!C394="","",Инвентаризация!Q394)</f>
        <v/>
      </c>
    </row>
    <row r="395" spans="1:16">
      <c r="A395" s="10" t="str">
        <f>IF(Инвентаризация!C395="","",Инвентаризация!B395)</f>
        <v/>
      </c>
      <c r="B395" s="10" t="str">
        <f>IF(Инвентаризация!C395="","",Инвентаризация!C395)</f>
        <v/>
      </c>
      <c r="C395" s="5" t="str">
        <f>IF(Инвентаризация!C395="","",Инвентаризация!D395)</f>
        <v/>
      </c>
      <c r="D395" s="11" t="str">
        <f>IF(Инвентаризация!C395="","",Инвентаризация!E395)</f>
        <v/>
      </c>
      <c r="E395" s="12" t="str">
        <f>IF(Инвентаризация!C395="","",Инвентаризация!F395)</f>
        <v/>
      </c>
      <c r="F395" s="12" t="str">
        <f>IF(Инвентаризация!C395="","",Инвентаризация!G395)</f>
        <v/>
      </c>
      <c r="G395" s="12" t="str">
        <f t="shared" si="30"/>
        <v/>
      </c>
      <c r="H395" s="13" t="str">
        <f t="shared" si="31"/>
        <v/>
      </c>
      <c r="I395" s="12" t="str">
        <f t="shared" si="32"/>
        <v/>
      </c>
      <c r="J395" s="12" t="str">
        <f t="shared" si="33"/>
        <v/>
      </c>
      <c r="K395" s="12" t="str">
        <f t="shared" si="34"/>
        <v/>
      </c>
      <c r="L395" s="10" t="str">
        <f>IF(Инвентаризация!C395="","",Инвентаризация!M395)</f>
        <v/>
      </c>
      <c r="M395" s="10" t="str">
        <f>IF(Инвентаризация!C395="","",Инвентаризация!N395)</f>
        <v/>
      </c>
      <c r="N395" s="10" t="str">
        <f>IF(Инвентаризация!C395="","",Инвентаризация!O395)</f>
        <v/>
      </c>
      <c r="O395" s="10" t="str">
        <f>IF(Инвентаризация!C395="","",Инвентаризация!P395)</f>
        <v/>
      </c>
      <c r="P395" s="8" t="str">
        <f>IF(Инвентаризация!C395="","",Инвентаризация!Q395)</f>
        <v/>
      </c>
    </row>
    <row r="396" spans="1:16">
      <c r="A396" s="10" t="str">
        <f>IF(Инвентаризация!C396="","",Инвентаризация!B396)</f>
        <v/>
      </c>
      <c r="B396" s="10" t="str">
        <f>IF(Инвентаризация!C396="","",Инвентаризация!C396)</f>
        <v/>
      </c>
      <c r="C396" s="5" t="str">
        <f>IF(Инвентаризация!C396="","",Инвентаризация!D396)</f>
        <v/>
      </c>
      <c r="D396" s="11" t="str">
        <f>IF(Инвентаризация!C396="","",Инвентаризация!E396)</f>
        <v/>
      </c>
      <c r="E396" s="12" t="str">
        <f>IF(Инвентаризация!C396="","",Инвентаризация!F396)</f>
        <v/>
      </c>
      <c r="F396" s="12" t="str">
        <f>IF(Инвентаризация!C396="","",Инвентаризация!G396)</f>
        <v/>
      </c>
      <c r="G396" s="12" t="str">
        <f t="shared" si="30"/>
        <v/>
      </c>
      <c r="H396" s="13" t="str">
        <f t="shared" si="31"/>
        <v/>
      </c>
      <c r="I396" s="12" t="str">
        <f t="shared" si="32"/>
        <v/>
      </c>
      <c r="J396" s="12" t="str">
        <f t="shared" si="33"/>
        <v/>
      </c>
      <c r="K396" s="12" t="str">
        <f t="shared" si="34"/>
        <v/>
      </c>
      <c r="L396" s="10" t="str">
        <f>IF(Инвентаризация!C396="","",Инвентаризация!M396)</f>
        <v/>
      </c>
      <c r="M396" s="10" t="str">
        <f>IF(Инвентаризация!C396="","",Инвентаризация!N396)</f>
        <v/>
      </c>
      <c r="N396" s="10" t="str">
        <f>IF(Инвентаризация!C396="","",Инвентаризация!O396)</f>
        <v/>
      </c>
      <c r="O396" s="10" t="str">
        <f>IF(Инвентаризация!C396="","",Инвентаризация!P396)</f>
        <v/>
      </c>
      <c r="P396" s="8" t="str">
        <f>IF(Инвентаризация!C396="","",Инвентаризация!Q396)</f>
        <v/>
      </c>
    </row>
    <row r="397" spans="1:16">
      <c r="A397" s="10" t="str">
        <f>IF(Инвентаризация!C397="","",Инвентаризация!B397)</f>
        <v/>
      </c>
      <c r="B397" s="10" t="str">
        <f>IF(Инвентаризация!C397="","",Инвентаризация!C397)</f>
        <v/>
      </c>
      <c r="C397" s="5" t="str">
        <f>IF(Инвентаризация!C397="","",Инвентаризация!D397)</f>
        <v/>
      </c>
      <c r="D397" s="11" t="str">
        <f>IF(Инвентаризация!C397="","",Инвентаризация!E397)</f>
        <v/>
      </c>
      <c r="E397" s="12" t="str">
        <f>IF(Инвентаризация!C397="","",Инвентаризация!F397)</f>
        <v/>
      </c>
      <c r="F397" s="12" t="str">
        <f>IF(Инвентаризация!C397="","",Инвентаризация!G397)</f>
        <v/>
      </c>
      <c r="G397" s="12" t="str">
        <f t="shared" si="30"/>
        <v/>
      </c>
      <c r="H397" s="13" t="str">
        <f t="shared" si="31"/>
        <v/>
      </c>
      <c r="I397" s="12" t="str">
        <f t="shared" si="32"/>
        <v/>
      </c>
      <c r="J397" s="12" t="str">
        <f t="shared" si="33"/>
        <v/>
      </c>
      <c r="K397" s="12" t="str">
        <f t="shared" si="34"/>
        <v/>
      </c>
      <c r="L397" s="10" t="str">
        <f>IF(Инвентаризация!C397="","",Инвентаризация!M397)</f>
        <v/>
      </c>
      <c r="M397" s="10" t="str">
        <f>IF(Инвентаризация!C397="","",Инвентаризация!N397)</f>
        <v/>
      </c>
      <c r="N397" s="10" t="str">
        <f>IF(Инвентаризация!C397="","",Инвентаризация!O397)</f>
        <v/>
      </c>
      <c r="O397" s="10" t="str">
        <f>IF(Инвентаризация!C397="","",Инвентаризация!P397)</f>
        <v/>
      </c>
      <c r="P397" s="8" t="str">
        <f>IF(Инвентаризация!C397="","",Инвентаризация!Q397)</f>
        <v/>
      </c>
    </row>
    <row r="398" spans="1:16">
      <c r="A398" s="10" t="str">
        <f>IF(Инвентаризация!C398="","",Инвентаризация!B398)</f>
        <v/>
      </c>
      <c r="B398" s="10" t="str">
        <f>IF(Инвентаризация!C398="","",Инвентаризация!C398)</f>
        <v/>
      </c>
      <c r="C398" s="5" t="str">
        <f>IF(Инвентаризация!C398="","",Инвентаризация!D398)</f>
        <v/>
      </c>
      <c r="D398" s="11" t="str">
        <f>IF(Инвентаризация!C398="","",Инвентаризация!E398)</f>
        <v/>
      </c>
      <c r="E398" s="12" t="str">
        <f>IF(Инвентаризация!C398="","",Инвентаризация!F398)</f>
        <v/>
      </c>
      <c r="F398" s="12" t="str">
        <f>IF(Инвентаризация!C398="","",Инвентаризация!G398)</f>
        <v/>
      </c>
      <c r="G398" s="12" t="str">
        <f t="shared" si="30"/>
        <v/>
      </c>
      <c r="H398" s="13" t="str">
        <f t="shared" si="31"/>
        <v/>
      </c>
      <c r="I398" s="12" t="str">
        <f t="shared" si="32"/>
        <v/>
      </c>
      <c r="J398" s="12" t="str">
        <f t="shared" si="33"/>
        <v/>
      </c>
      <c r="K398" s="12" t="str">
        <f t="shared" si="34"/>
        <v/>
      </c>
      <c r="L398" s="10" t="str">
        <f>IF(Инвентаризация!C398="","",Инвентаризация!M398)</f>
        <v/>
      </c>
      <c r="M398" s="10" t="str">
        <f>IF(Инвентаризация!C398="","",Инвентаризация!N398)</f>
        <v/>
      </c>
      <c r="N398" s="10" t="str">
        <f>IF(Инвентаризация!C398="","",Инвентаризация!O398)</f>
        <v/>
      </c>
      <c r="O398" s="10" t="str">
        <f>IF(Инвентаризация!C398="","",Инвентаризация!P398)</f>
        <v/>
      </c>
      <c r="P398" s="8" t="str">
        <f>IF(Инвентаризация!C398="","",Инвентаризация!Q398)</f>
        <v/>
      </c>
    </row>
    <row r="399" spans="1:16">
      <c r="A399" s="10" t="str">
        <f>IF(Инвентаризация!C399="","",Инвентаризация!B399)</f>
        <v/>
      </c>
      <c r="B399" s="10" t="str">
        <f>IF(Инвентаризация!C399="","",Инвентаризация!C399)</f>
        <v/>
      </c>
      <c r="C399" s="5" t="str">
        <f>IF(Инвентаризация!C399="","",Инвентаризация!D399)</f>
        <v/>
      </c>
      <c r="D399" s="11" t="str">
        <f>IF(Инвентаризация!C399="","",Инвентаризация!E399)</f>
        <v/>
      </c>
      <c r="E399" s="12" t="str">
        <f>IF(Инвентаризация!C399="","",Инвентаризация!F399)</f>
        <v/>
      </c>
      <c r="F399" s="12" t="str">
        <f>IF(Инвентаризация!C399="","",Инвентаризация!G399)</f>
        <v/>
      </c>
      <c r="G399" s="12" t="str">
        <f t="shared" si="30"/>
        <v/>
      </c>
      <c r="H399" s="13" t="str">
        <f t="shared" si="31"/>
        <v/>
      </c>
      <c r="I399" s="12" t="str">
        <f t="shared" si="32"/>
        <v/>
      </c>
      <c r="J399" s="12" t="str">
        <f t="shared" si="33"/>
        <v/>
      </c>
      <c r="K399" s="12" t="str">
        <f t="shared" si="34"/>
        <v/>
      </c>
      <c r="L399" s="10" t="str">
        <f>IF(Инвентаризация!C399="","",Инвентаризация!M399)</f>
        <v/>
      </c>
      <c r="M399" s="10" t="str">
        <f>IF(Инвентаризация!C399="","",Инвентаризация!N399)</f>
        <v/>
      </c>
      <c r="N399" s="10" t="str">
        <f>IF(Инвентаризация!C399="","",Инвентаризация!O399)</f>
        <v/>
      </c>
      <c r="O399" s="10" t="str">
        <f>IF(Инвентаризация!C399="","",Инвентаризация!P399)</f>
        <v/>
      </c>
      <c r="P399" s="8" t="str">
        <f>IF(Инвентаризация!C399="","",Инвентаризация!Q399)</f>
        <v/>
      </c>
    </row>
    <row r="400" spans="1:16">
      <c r="A400" s="10" t="str">
        <f>IF(Инвентаризация!C400="","",Инвентаризация!B400)</f>
        <v/>
      </c>
      <c r="B400" s="10" t="str">
        <f>IF(Инвентаризация!C400="","",Инвентаризация!C400)</f>
        <v/>
      </c>
      <c r="C400" s="5" t="str">
        <f>IF(Инвентаризация!C400="","",Инвентаризация!D400)</f>
        <v/>
      </c>
      <c r="D400" s="11" t="str">
        <f>IF(Инвентаризация!C400="","",Инвентаризация!E400)</f>
        <v/>
      </c>
      <c r="E400" s="12" t="str">
        <f>IF(Инвентаризация!C400="","",Инвентаризация!F400)</f>
        <v/>
      </c>
      <c r="F400" s="12" t="str">
        <f>IF(Инвентаризация!C400="","",Инвентаризация!G400)</f>
        <v/>
      </c>
      <c r="G400" s="12" t="str">
        <f t="shared" si="30"/>
        <v/>
      </c>
      <c r="H400" s="13" t="str">
        <f t="shared" si="31"/>
        <v/>
      </c>
      <c r="I400" s="12" t="str">
        <f t="shared" si="32"/>
        <v/>
      </c>
      <c r="J400" s="12" t="str">
        <f t="shared" si="33"/>
        <v/>
      </c>
      <c r="K400" s="12" t="str">
        <f t="shared" si="34"/>
        <v/>
      </c>
      <c r="L400" s="10" t="str">
        <f>IF(Инвентаризация!C400="","",Инвентаризация!M400)</f>
        <v/>
      </c>
      <c r="M400" s="10" t="str">
        <f>IF(Инвентаризация!C400="","",Инвентаризация!N400)</f>
        <v/>
      </c>
      <c r="N400" s="10" t="str">
        <f>IF(Инвентаризация!C400="","",Инвентаризация!O400)</f>
        <v/>
      </c>
      <c r="O400" s="10" t="str">
        <f>IF(Инвентаризация!C400="","",Инвентаризация!P400)</f>
        <v/>
      </c>
      <c r="P400" s="8" t="str">
        <f>IF(Инвентаризация!C400="","",Инвентаризация!Q400)</f>
        <v/>
      </c>
    </row>
    <row r="401" spans="1:16">
      <c r="A401" s="10" t="str">
        <f>IF(Инвентаризация!C401="","",Инвентаризация!B401)</f>
        <v/>
      </c>
      <c r="B401" s="10" t="str">
        <f>IF(Инвентаризация!C401="","",Инвентаризация!C401)</f>
        <v/>
      </c>
      <c r="C401" s="5" t="str">
        <f>IF(Инвентаризация!C401="","",Инвентаризация!D401)</f>
        <v/>
      </c>
      <c r="D401" s="11" t="str">
        <f>IF(Инвентаризация!C401="","",Инвентаризация!E401)</f>
        <v/>
      </c>
      <c r="E401" s="12" t="str">
        <f>IF(Инвентаризация!C401="","",Инвентаризация!F401)</f>
        <v/>
      </c>
      <c r="F401" s="12" t="str">
        <f>IF(Инвентаризация!C401="","",Инвентаризация!G401)</f>
        <v/>
      </c>
      <c r="G401" s="12" t="str">
        <f t="shared" si="30"/>
        <v/>
      </c>
      <c r="H401" s="13" t="str">
        <f t="shared" si="31"/>
        <v/>
      </c>
      <c r="I401" s="12" t="str">
        <f t="shared" si="32"/>
        <v/>
      </c>
      <c r="J401" s="12" t="str">
        <f t="shared" si="33"/>
        <v/>
      </c>
      <c r="K401" s="12" t="str">
        <f t="shared" si="34"/>
        <v/>
      </c>
      <c r="L401" s="10" t="str">
        <f>IF(Инвентаризация!C401="","",Инвентаризация!M401)</f>
        <v/>
      </c>
      <c r="M401" s="10" t="str">
        <f>IF(Инвентаризация!C401="","",Инвентаризация!N401)</f>
        <v/>
      </c>
      <c r="N401" s="10" t="str">
        <f>IF(Инвентаризация!C401="","",Инвентаризация!O401)</f>
        <v/>
      </c>
      <c r="O401" s="10" t="str">
        <f>IF(Инвентаризация!C401="","",Инвентаризация!P401)</f>
        <v/>
      </c>
      <c r="P401" s="8" t="str">
        <f>IF(Инвентаризация!C401="","",Инвентаризация!Q401)</f>
        <v/>
      </c>
    </row>
    <row r="402" spans="1:16">
      <c r="A402" s="10" t="str">
        <f>IF(Инвентаризация!C402="","",Инвентаризация!B402)</f>
        <v/>
      </c>
      <c r="B402" s="10" t="str">
        <f>IF(Инвентаризация!C402="","",Инвентаризация!C402)</f>
        <v/>
      </c>
      <c r="C402" s="5" t="str">
        <f>IF(Инвентаризация!C402="","",Инвентаризация!D402)</f>
        <v/>
      </c>
      <c r="D402" s="11" t="str">
        <f>IF(Инвентаризация!C402="","",Инвентаризация!E402)</f>
        <v/>
      </c>
      <c r="E402" s="12" t="str">
        <f>IF(Инвентаризация!C402="","",Инвентаризация!F402)</f>
        <v/>
      </c>
      <c r="F402" s="12" t="str">
        <f>IF(Инвентаризация!C402="","",Инвентаризация!G402)</f>
        <v/>
      </c>
      <c r="G402" s="12" t="str">
        <f t="shared" si="30"/>
        <v/>
      </c>
      <c r="H402" s="13" t="str">
        <f t="shared" si="31"/>
        <v/>
      </c>
      <c r="I402" s="12" t="str">
        <f t="shared" si="32"/>
        <v/>
      </c>
      <c r="J402" s="12" t="str">
        <f t="shared" si="33"/>
        <v/>
      </c>
      <c r="K402" s="12" t="str">
        <f t="shared" si="34"/>
        <v/>
      </c>
      <c r="L402" s="10" t="str">
        <f>IF(Инвентаризация!C402="","",Инвентаризация!M402)</f>
        <v/>
      </c>
      <c r="M402" s="10" t="str">
        <f>IF(Инвентаризация!C402="","",Инвентаризация!N402)</f>
        <v/>
      </c>
      <c r="N402" s="10" t="str">
        <f>IF(Инвентаризация!C402="","",Инвентаризация!O402)</f>
        <v/>
      </c>
      <c r="O402" s="10" t="str">
        <f>IF(Инвентаризация!C402="","",Инвентаризация!P402)</f>
        <v/>
      </c>
      <c r="P402" s="8" t="str">
        <f>IF(Инвентаризация!C402="","",Инвентаризация!Q402)</f>
        <v/>
      </c>
    </row>
    <row r="403" spans="1:16">
      <c r="A403" s="10" t="str">
        <f>IF(Инвентаризация!C403="","",Инвентаризация!B403)</f>
        <v/>
      </c>
      <c r="B403" s="10" t="str">
        <f>IF(Инвентаризация!C403="","",Инвентаризация!C403)</f>
        <v/>
      </c>
      <c r="C403" s="5" t="str">
        <f>IF(Инвентаризация!C403="","",Инвентаризация!D403)</f>
        <v/>
      </c>
      <c r="D403" s="11" t="str">
        <f>IF(Инвентаризация!C403="","",Инвентаризация!E403)</f>
        <v/>
      </c>
      <c r="E403" s="12" t="str">
        <f>IF(Инвентаризация!C403="","",Инвентаризация!F403)</f>
        <v/>
      </c>
      <c r="F403" s="12" t="str">
        <f>IF(Инвентаризация!C403="","",Инвентаризация!G403)</f>
        <v/>
      </c>
      <c r="G403" s="12" t="str">
        <f t="shared" si="30"/>
        <v/>
      </c>
      <c r="H403" s="13" t="str">
        <f t="shared" si="31"/>
        <v/>
      </c>
      <c r="I403" s="12" t="str">
        <f t="shared" si="32"/>
        <v/>
      </c>
      <c r="J403" s="12" t="str">
        <f t="shared" si="33"/>
        <v/>
      </c>
      <c r="K403" s="12" t="str">
        <f t="shared" si="34"/>
        <v/>
      </c>
      <c r="L403" s="10" t="str">
        <f>IF(Инвентаризация!C403="","",Инвентаризация!M403)</f>
        <v/>
      </c>
      <c r="M403" s="10" t="str">
        <f>IF(Инвентаризация!C403="","",Инвентаризация!N403)</f>
        <v/>
      </c>
      <c r="N403" s="10" t="str">
        <f>IF(Инвентаризация!C403="","",Инвентаризация!O403)</f>
        <v/>
      </c>
      <c r="O403" s="10" t="str">
        <f>IF(Инвентаризация!C403="","",Инвентаризация!P403)</f>
        <v/>
      </c>
      <c r="P403" s="8" t="str">
        <f>IF(Инвентаризация!C403="","",Инвентаризация!Q403)</f>
        <v/>
      </c>
    </row>
    <row r="404" spans="1:16">
      <c r="A404" s="10" t="str">
        <f>IF(Инвентаризация!C404="","",Инвентаризация!B404)</f>
        <v/>
      </c>
      <c r="B404" s="10" t="str">
        <f>IF(Инвентаризация!C404="","",Инвентаризация!C404)</f>
        <v/>
      </c>
      <c r="C404" s="5" t="str">
        <f>IF(Инвентаризация!C404="","",Инвентаризация!D404)</f>
        <v/>
      </c>
      <c r="D404" s="11" t="str">
        <f>IF(Инвентаризация!C404="","",Инвентаризация!E404)</f>
        <v/>
      </c>
      <c r="E404" s="12" t="str">
        <f>IF(Инвентаризация!C404="","",Инвентаризация!F404)</f>
        <v/>
      </c>
      <c r="F404" s="12" t="str">
        <f>IF(Инвентаризация!C404="","",Инвентаризация!G404)</f>
        <v/>
      </c>
      <c r="G404" s="12" t="str">
        <f t="shared" si="30"/>
        <v/>
      </c>
      <c r="H404" s="13" t="str">
        <f t="shared" si="31"/>
        <v/>
      </c>
      <c r="I404" s="12" t="str">
        <f t="shared" si="32"/>
        <v/>
      </c>
      <c r="J404" s="12" t="str">
        <f t="shared" si="33"/>
        <v/>
      </c>
      <c r="K404" s="12" t="str">
        <f t="shared" si="34"/>
        <v/>
      </c>
      <c r="L404" s="10" t="str">
        <f>IF(Инвентаризация!C404="","",Инвентаризация!M404)</f>
        <v/>
      </c>
      <c r="M404" s="10" t="str">
        <f>IF(Инвентаризация!C404="","",Инвентаризация!N404)</f>
        <v/>
      </c>
      <c r="N404" s="10" t="str">
        <f>IF(Инвентаризация!C404="","",Инвентаризация!O404)</f>
        <v/>
      </c>
      <c r="O404" s="10" t="str">
        <f>IF(Инвентаризация!C404="","",Инвентаризация!P404)</f>
        <v/>
      </c>
      <c r="P404" s="8" t="str">
        <f>IF(Инвентаризация!C404="","",Инвентаризация!Q404)</f>
        <v/>
      </c>
    </row>
    <row r="405" spans="1:16">
      <c r="A405" s="10" t="str">
        <f>IF(Инвентаризация!C405="","",Инвентаризация!B405)</f>
        <v/>
      </c>
      <c r="B405" s="10" t="str">
        <f>IF(Инвентаризация!C405="","",Инвентаризация!C405)</f>
        <v/>
      </c>
      <c r="C405" s="5" t="str">
        <f>IF(Инвентаризация!C405="","",Инвентаризация!D405)</f>
        <v/>
      </c>
      <c r="D405" s="11" t="str">
        <f>IF(Инвентаризация!C405="","",Инвентаризация!E405)</f>
        <v/>
      </c>
      <c r="E405" s="12" t="str">
        <f>IF(Инвентаризация!C405="","",Инвентаризация!F405)</f>
        <v/>
      </c>
      <c r="F405" s="12" t="str">
        <f>IF(Инвентаризация!C405="","",Инвентаризация!G405)</f>
        <v/>
      </c>
      <c r="G405" s="12" t="str">
        <f t="shared" si="30"/>
        <v/>
      </c>
      <c r="H405" s="13" t="str">
        <f t="shared" si="31"/>
        <v/>
      </c>
      <c r="I405" s="12" t="str">
        <f t="shared" si="32"/>
        <v/>
      </c>
      <c r="J405" s="12" t="str">
        <f t="shared" si="33"/>
        <v/>
      </c>
      <c r="K405" s="12" t="str">
        <f t="shared" si="34"/>
        <v/>
      </c>
      <c r="L405" s="10" t="str">
        <f>IF(Инвентаризация!C405="","",Инвентаризация!M405)</f>
        <v/>
      </c>
      <c r="M405" s="10" t="str">
        <f>IF(Инвентаризация!C405="","",Инвентаризация!N405)</f>
        <v/>
      </c>
      <c r="N405" s="10" t="str">
        <f>IF(Инвентаризация!C405="","",Инвентаризация!O405)</f>
        <v/>
      </c>
      <c r="O405" s="10" t="str">
        <f>IF(Инвентаризация!C405="","",Инвентаризация!P405)</f>
        <v/>
      </c>
      <c r="P405" s="8" t="str">
        <f>IF(Инвентаризация!C405="","",Инвентаризация!Q405)</f>
        <v/>
      </c>
    </row>
    <row r="406" spans="1:16">
      <c r="A406" s="10" t="str">
        <f>IF(Инвентаризация!C406="","",Инвентаризация!B406)</f>
        <v/>
      </c>
      <c r="B406" s="10" t="str">
        <f>IF(Инвентаризация!C406="","",Инвентаризация!C406)</f>
        <v/>
      </c>
      <c r="C406" s="5" t="str">
        <f>IF(Инвентаризация!C406="","",Инвентаризация!D406)</f>
        <v/>
      </c>
      <c r="D406" s="11" t="str">
        <f>IF(Инвентаризация!C406="","",Инвентаризация!E406)</f>
        <v/>
      </c>
      <c r="E406" s="12" t="str">
        <f>IF(Инвентаризация!C406="","",Инвентаризация!F406)</f>
        <v/>
      </c>
      <c r="F406" s="12" t="str">
        <f>IF(Инвентаризация!C406="","",Инвентаризация!G406)</f>
        <v/>
      </c>
      <c r="G406" s="12" t="str">
        <f t="shared" si="30"/>
        <v/>
      </c>
      <c r="H406" s="13" t="str">
        <f t="shared" si="31"/>
        <v/>
      </c>
      <c r="I406" s="12" t="str">
        <f t="shared" si="32"/>
        <v/>
      </c>
      <c r="J406" s="12" t="str">
        <f t="shared" si="33"/>
        <v/>
      </c>
      <c r="K406" s="12" t="str">
        <f t="shared" si="34"/>
        <v/>
      </c>
      <c r="L406" s="10" t="str">
        <f>IF(Инвентаризация!C406="","",Инвентаризация!M406)</f>
        <v/>
      </c>
      <c r="M406" s="10" t="str">
        <f>IF(Инвентаризация!C406="","",Инвентаризация!N406)</f>
        <v/>
      </c>
      <c r="N406" s="10" t="str">
        <f>IF(Инвентаризация!C406="","",Инвентаризация!O406)</f>
        <v/>
      </c>
      <c r="O406" s="10" t="str">
        <f>IF(Инвентаризация!C406="","",Инвентаризация!P406)</f>
        <v/>
      </c>
      <c r="P406" s="8" t="str">
        <f>IF(Инвентаризация!C406="","",Инвентаризация!Q406)</f>
        <v/>
      </c>
    </row>
    <row r="407" spans="1:16">
      <c r="A407" s="10" t="str">
        <f>IF(Инвентаризация!C407="","",Инвентаризация!B407)</f>
        <v/>
      </c>
      <c r="B407" s="10" t="str">
        <f>IF(Инвентаризация!C407="","",Инвентаризация!C407)</f>
        <v/>
      </c>
      <c r="C407" s="5" t="str">
        <f>IF(Инвентаризация!C407="","",Инвентаризация!D407)</f>
        <v/>
      </c>
      <c r="D407" s="11" t="str">
        <f>IF(Инвентаризация!C407="","",Инвентаризация!E407)</f>
        <v/>
      </c>
      <c r="E407" s="12" t="str">
        <f>IF(Инвентаризация!C407="","",Инвентаризация!F407)</f>
        <v/>
      </c>
      <c r="F407" s="12" t="str">
        <f>IF(Инвентаризация!C407="","",Инвентаризация!G407)</f>
        <v/>
      </c>
      <c r="G407" s="12" t="str">
        <f t="shared" si="30"/>
        <v/>
      </c>
      <c r="H407" s="13" t="str">
        <f t="shared" si="31"/>
        <v/>
      </c>
      <c r="I407" s="12" t="str">
        <f t="shared" si="32"/>
        <v/>
      </c>
      <c r="J407" s="12" t="str">
        <f t="shared" si="33"/>
        <v/>
      </c>
      <c r="K407" s="12" t="str">
        <f t="shared" si="34"/>
        <v/>
      </c>
      <c r="L407" s="10" t="str">
        <f>IF(Инвентаризация!C407="","",Инвентаризация!M407)</f>
        <v/>
      </c>
      <c r="M407" s="10" t="str">
        <f>IF(Инвентаризация!C407="","",Инвентаризация!N407)</f>
        <v/>
      </c>
      <c r="N407" s="10" t="str">
        <f>IF(Инвентаризация!C407="","",Инвентаризация!O407)</f>
        <v/>
      </c>
      <c r="O407" s="10" t="str">
        <f>IF(Инвентаризация!C407="","",Инвентаризация!P407)</f>
        <v/>
      </c>
      <c r="P407" s="8" t="str">
        <f>IF(Инвентаризация!C407="","",Инвентаризация!Q407)</f>
        <v/>
      </c>
    </row>
    <row r="408" spans="1:16">
      <c r="A408" s="10" t="str">
        <f>IF(Инвентаризация!C408="","",Инвентаризация!B408)</f>
        <v/>
      </c>
      <c r="B408" s="10" t="str">
        <f>IF(Инвентаризация!C408="","",Инвентаризация!C408)</f>
        <v/>
      </c>
      <c r="C408" s="5" t="str">
        <f>IF(Инвентаризация!C408="","",Инвентаризация!D408)</f>
        <v/>
      </c>
      <c r="D408" s="11" t="str">
        <f>IF(Инвентаризация!C408="","",Инвентаризация!E408)</f>
        <v/>
      </c>
      <c r="E408" s="12" t="str">
        <f>IF(Инвентаризация!C408="","",Инвентаризация!F408)</f>
        <v/>
      </c>
      <c r="F408" s="12" t="str">
        <f>IF(Инвентаризация!C408="","",Инвентаризация!G408)</f>
        <v/>
      </c>
      <c r="G408" s="12" t="str">
        <f t="shared" si="30"/>
        <v/>
      </c>
      <c r="H408" s="13" t="str">
        <f t="shared" si="31"/>
        <v/>
      </c>
      <c r="I408" s="12" t="str">
        <f t="shared" si="32"/>
        <v/>
      </c>
      <c r="J408" s="12" t="str">
        <f t="shared" si="33"/>
        <v/>
      </c>
      <c r="K408" s="12" t="str">
        <f t="shared" si="34"/>
        <v/>
      </c>
      <c r="L408" s="10" t="str">
        <f>IF(Инвентаризация!C408="","",Инвентаризация!M408)</f>
        <v/>
      </c>
      <c r="M408" s="10" t="str">
        <f>IF(Инвентаризация!C408="","",Инвентаризация!N408)</f>
        <v/>
      </c>
      <c r="N408" s="10" t="str">
        <f>IF(Инвентаризация!C408="","",Инвентаризация!O408)</f>
        <v/>
      </c>
      <c r="O408" s="10" t="str">
        <f>IF(Инвентаризация!C408="","",Инвентаризация!P408)</f>
        <v/>
      </c>
      <c r="P408" s="8" t="str">
        <f>IF(Инвентаризация!C408="","",Инвентаризация!Q408)</f>
        <v/>
      </c>
    </row>
    <row r="409" spans="1:16">
      <c r="A409" s="10" t="str">
        <f>IF(Инвентаризация!C409="","",Инвентаризация!B409)</f>
        <v/>
      </c>
      <c r="B409" s="10" t="str">
        <f>IF(Инвентаризация!C409="","",Инвентаризация!C409)</f>
        <v/>
      </c>
      <c r="C409" s="5" t="str">
        <f>IF(Инвентаризация!C409="","",Инвентаризация!D409)</f>
        <v/>
      </c>
      <c r="D409" s="11" t="str">
        <f>IF(Инвентаризация!C409="","",Инвентаризация!E409)</f>
        <v/>
      </c>
      <c r="E409" s="12" t="str">
        <f>IF(Инвентаризация!C409="","",Инвентаризация!F409)</f>
        <v/>
      </c>
      <c r="F409" s="12" t="str">
        <f>IF(Инвентаризация!C409="","",Инвентаризация!G409)</f>
        <v/>
      </c>
      <c r="G409" s="12" t="str">
        <f t="shared" si="30"/>
        <v/>
      </c>
      <c r="H409" s="13" t="str">
        <f t="shared" si="31"/>
        <v/>
      </c>
      <c r="I409" s="12" t="str">
        <f t="shared" si="32"/>
        <v/>
      </c>
      <c r="J409" s="12" t="str">
        <f t="shared" si="33"/>
        <v/>
      </c>
      <c r="K409" s="12" t="str">
        <f t="shared" si="34"/>
        <v/>
      </c>
      <c r="L409" s="10" t="str">
        <f>IF(Инвентаризация!C409="","",Инвентаризация!M409)</f>
        <v/>
      </c>
      <c r="M409" s="10" t="str">
        <f>IF(Инвентаризация!C409="","",Инвентаризация!N409)</f>
        <v/>
      </c>
      <c r="N409" s="10" t="str">
        <f>IF(Инвентаризация!C409="","",Инвентаризация!O409)</f>
        <v/>
      </c>
      <c r="O409" s="10" t="str">
        <f>IF(Инвентаризация!C409="","",Инвентаризация!P409)</f>
        <v/>
      </c>
      <c r="P409" s="8" t="str">
        <f>IF(Инвентаризация!C409="","",Инвентаризация!Q409)</f>
        <v/>
      </c>
    </row>
    <row r="410" spans="1:16">
      <c r="A410" s="10" t="str">
        <f>IF(Инвентаризация!C410="","",Инвентаризация!B410)</f>
        <v/>
      </c>
      <c r="B410" s="10" t="str">
        <f>IF(Инвентаризация!C410="","",Инвентаризация!C410)</f>
        <v/>
      </c>
      <c r="C410" s="5" t="str">
        <f>IF(Инвентаризация!C410="","",Инвентаризация!D410)</f>
        <v/>
      </c>
      <c r="D410" s="11" t="str">
        <f>IF(Инвентаризация!C410="","",Инвентаризация!E410)</f>
        <v/>
      </c>
      <c r="E410" s="12" t="str">
        <f>IF(Инвентаризация!C410="","",Инвентаризация!F410)</f>
        <v/>
      </c>
      <c r="F410" s="12" t="str">
        <f>IF(Инвентаризация!C410="","",Инвентаризация!G410)</f>
        <v/>
      </c>
      <c r="G410" s="12" t="str">
        <f t="shared" si="30"/>
        <v/>
      </c>
      <c r="H410" s="13" t="str">
        <f t="shared" si="31"/>
        <v/>
      </c>
      <c r="I410" s="12" t="str">
        <f t="shared" si="32"/>
        <v/>
      </c>
      <c r="J410" s="12" t="str">
        <f t="shared" si="33"/>
        <v/>
      </c>
      <c r="K410" s="12" t="str">
        <f t="shared" si="34"/>
        <v/>
      </c>
      <c r="L410" s="10" t="str">
        <f>IF(Инвентаризация!C410="","",Инвентаризация!M410)</f>
        <v/>
      </c>
      <c r="M410" s="10" t="str">
        <f>IF(Инвентаризация!C410="","",Инвентаризация!N410)</f>
        <v/>
      </c>
      <c r="N410" s="10" t="str">
        <f>IF(Инвентаризация!C410="","",Инвентаризация!O410)</f>
        <v/>
      </c>
      <c r="O410" s="10" t="str">
        <f>IF(Инвентаризация!C410="","",Инвентаризация!P410)</f>
        <v/>
      </c>
      <c r="P410" s="8" t="str">
        <f>IF(Инвентаризация!C410="","",Инвентаризация!Q410)</f>
        <v/>
      </c>
    </row>
    <row r="411" spans="1:16">
      <c r="A411" s="10" t="str">
        <f>IF(Инвентаризация!C411="","",Инвентаризация!B411)</f>
        <v/>
      </c>
      <c r="B411" s="10" t="str">
        <f>IF(Инвентаризация!C411="","",Инвентаризация!C411)</f>
        <v/>
      </c>
      <c r="C411" s="5" t="str">
        <f>IF(Инвентаризация!C411="","",Инвентаризация!D411)</f>
        <v/>
      </c>
      <c r="D411" s="11" t="str">
        <f>IF(Инвентаризация!C411="","",Инвентаризация!E411)</f>
        <v/>
      </c>
      <c r="E411" s="12" t="str">
        <f>IF(Инвентаризация!C411="","",Инвентаризация!F411)</f>
        <v/>
      </c>
      <c r="F411" s="12" t="str">
        <f>IF(Инвентаризация!C411="","",Инвентаризация!G411)</f>
        <v/>
      </c>
      <c r="G411" s="12" t="str">
        <f t="shared" si="30"/>
        <v/>
      </c>
      <c r="H411" s="13" t="str">
        <f t="shared" si="31"/>
        <v/>
      </c>
      <c r="I411" s="12" t="str">
        <f t="shared" si="32"/>
        <v/>
      </c>
      <c r="J411" s="12" t="str">
        <f t="shared" si="33"/>
        <v/>
      </c>
      <c r="K411" s="12" t="str">
        <f t="shared" si="34"/>
        <v/>
      </c>
      <c r="L411" s="10" t="str">
        <f>IF(Инвентаризация!C411="","",Инвентаризация!M411)</f>
        <v/>
      </c>
      <c r="M411" s="10" t="str">
        <f>IF(Инвентаризация!C411="","",Инвентаризация!N411)</f>
        <v/>
      </c>
      <c r="N411" s="10" t="str">
        <f>IF(Инвентаризация!C411="","",Инвентаризация!O411)</f>
        <v/>
      </c>
      <c r="O411" s="10" t="str">
        <f>IF(Инвентаризация!C411="","",Инвентаризация!P411)</f>
        <v/>
      </c>
      <c r="P411" s="8" t="str">
        <f>IF(Инвентаризация!C411="","",Инвентаризация!Q411)</f>
        <v/>
      </c>
    </row>
    <row r="412" spans="1:16">
      <c r="A412" s="10" t="str">
        <f>IF(Инвентаризация!C412="","",Инвентаризация!B412)</f>
        <v/>
      </c>
      <c r="B412" s="10" t="str">
        <f>IF(Инвентаризация!C412="","",Инвентаризация!C412)</f>
        <v/>
      </c>
      <c r="C412" s="5" t="str">
        <f>IF(Инвентаризация!C412="","",Инвентаризация!D412)</f>
        <v/>
      </c>
      <c r="D412" s="11" t="str">
        <f>IF(Инвентаризация!C412="","",Инвентаризация!E412)</f>
        <v/>
      </c>
      <c r="E412" s="12" t="str">
        <f>IF(Инвентаризация!C412="","",Инвентаризация!F412)</f>
        <v/>
      </c>
      <c r="F412" s="12" t="str">
        <f>IF(Инвентаризация!C412="","",Инвентаризация!G412)</f>
        <v/>
      </c>
      <c r="G412" s="12" t="str">
        <f t="shared" si="30"/>
        <v/>
      </c>
      <c r="H412" s="13" t="str">
        <f t="shared" si="31"/>
        <v/>
      </c>
      <c r="I412" s="12" t="str">
        <f t="shared" si="32"/>
        <v/>
      </c>
      <c r="J412" s="12" t="str">
        <f t="shared" si="33"/>
        <v/>
      </c>
      <c r="K412" s="12" t="str">
        <f t="shared" si="34"/>
        <v/>
      </c>
      <c r="L412" s="10" t="str">
        <f>IF(Инвентаризация!C412="","",Инвентаризация!M412)</f>
        <v/>
      </c>
      <c r="M412" s="10" t="str">
        <f>IF(Инвентаризация!C412="","",Инвентаризация!N412)</f>
        <v/>
      </c>
      <c r="N412" s="10" t="str">
        <f>IF(Инвентаризация!C412="","",Инвентаризация!O412)</f>
        <v/>
      </c>
      <c r="O412" s="10" t="str">
        <f>IF(Инвентаризация!C412="","",Инвентаризация!P412)</f>
        <v/>
      </c>
      <c r="P412" s="8" t="str">
        <f>IF(Инвентаризация!C412="","",Инвентаризация!Q412)</f>
        <v/>
      </c>
    </row>
    <row r="413" spans="1:16">
      <c r="A413" s="10" t="str">
        <f>IF(Инвентаризация!C413="","",Инвентаризация!B413)</f>
        <v/>
      </c>
      <c r="B413" s="10" t="str">
        <f>IF(Инвентаризация!C413="","",Инвентаризация!C413)</f>
        <v/>
      </c>
      <c r="C413" s="5" t="str">
        <f>IF(Инвентаризация!C413="","",Инвентаризация!D413)</f>
        <v/>
      </c>
      <c r="D413" s="11" t="str">
        <f>IF(Инвентаризация!C413="","",Инвентаризация!E413)</f>
        <v/>
      </c>
      <c r="E413" s="12" t="str">
        <f>IF(Инвентаризация!C413="","",Инвентаризация!F413)</f>
        <v/>
      </c>
      <c r="F413" s="12" t="str">
        <f>IF(Инвентаризация!C413="","",Инвентаризация!G413)</f>
        <v/>
      </c>
      <c r="G413" s="12" t="str">
        <f t="shared" si="30"/>
        <v/>
      </c>
      <c r="H413" s="13" t="str">
        <f t="shared" si="31"/>
        <v/>
      </c>
      <c r="I413" s="12" t="str">
        <f t="shared" si="32"/>
        <v/>
      </c>
      <c r="J413" s="12" t="str">
        <f t="shared" si="33"/>
        <v/>
      </c>
      <c r="K413" s="12" t="str">
        <f t="shared" si="34"/>
        <v/>
      </c>
      <c r="L413" s="10" t="str">
        <f>IF(Инвентаризация!C413="","",Инвентаризация!M413)</f>
        <v/>
      </c>
      <c r="M413" s="10" t="str">
        <f>IF(Инвентаризация!C413="","",Инвентаризация!N413)</f>
        <v/>
      </c>
      <c r="N413" s="10" t="str">
        <f>IF(Инвентаризация!C413="","",Инвентаризация!O413)</f>
        <v/>
      </c>
      <c r="O413" s="10" t="str">
        <f>IF(Инвентаризация!C413="","",Инвентаризация!P413)</f>
        <v/>
      </c>
      <c r="P413" s="8" t="str">
        <f>IF(Инвентаризация!C413="","",Инвентаризация!Q413)</f>
        <v/>
      </c>
    </row>
    <row r="414" spans="1:16">
      <c r="A414" s="10" t="str">
        <f>IF(Инвентаризация!C414="","",Инвентаризация!B414)</f>
        <v/>
      </c>
      <c r="B414" s="10" t="str">
        <f>IF(Инвентаризация!C414="","",Инвентаризация!C414)</f>
        <v/>
      </c>
      <c r="C414" s="5" t="str">
        <f>IF(Инвентаризация!C414="","",Инвентаризация!D414)</f>
        <v/>
      </c>
      <c r="D414" s="11" t="str">
        <f>IF(Инвентаризация!C414="","",Инвентаризация!E414)</f>
        <v/>
      </c>
      <c r="E414" s="12" t="str">
        <f>IF(Инвентаризация!C414="","",Инвентаризация!F414)</f>
        <v/>
      </c>
      <c r="F414" s="12" t="str">
        <f>IF(Инвентаризация!C414="","",Инвентаризация!G414)</f>
        <v/>
      </c>
      <c r="G414" s="12" t="str">
        <f t="shared" si="30"/>
        <v/>
      </c>
      <c r="H414" s="13" t="str">
        <f t="shared" si="31"/>
        <v/>
      </c>
      <c r="I414" s="12" t="str">
        <f t="shared" si="32"/>
        <v/>
      </c>
      <c r="J414" s="12" t="str">
        <f t="shared" si="33"/>
        <v/>
      </c>
      <c r="K414" s="12" t="str">
        <f t="shared" si="34"/>
        <v/>
      </c>
      <c r="L414" s="10" t="str">
        <f>IF(Инвентаризация!C414="","",Инвентаризация!M414)</f>
        <v/>
      </c>
      <c r="M414" s="10" t="str">
        <f>IF(Инвентаризация!C414="","",Инвентаризация!N414)</f>
        <v/>
      </c>
      <c r="N414" s="10" t="str">
        <f>IF(Инвентаризация!C414="","",Инвентаризация!O414)</f>
        <v/>
      </c>
      <c r="O414" s="10" t="str">
        <f>IF(Инвентаризация!C414="","",Инвентаризация!P414)</f>
        <v/>
      </c>
      <c r="P414" s="8" t="str">
        <f>IF(Инвентаризация!C414="","",Инвентаризация!Q414)</f>
        <v/>
      </c>
    </row>
    <row r="415" spans="1:16">
      <c r="A415" s="10" t="str">
        <f>IF(Инвентаризация!C415="","",Инвентаризация!B415)</f>
        <v/>
      </c>
      <c r="B415" s="10" t="str">
        <f>IF(Инвентаризация!C415="","",Инвентаризация!C415)</f>
        <v/>
      </c>
      <c r="C415" s="5" t="str">
        <f>IF(Инвентаризация!C415="","",Инвентаризация!D415)</f>
        <v/>
      </c>
      <c r="D415" s="11" t="str">
        <f>IF(Инвентаризация!C415="","",Инвентаризация!E415)</f>
        <v/>
      </c>
      <c r="E415" s="12" t="str">
        <f>IF(Инвентаризация!C415="","",Инвентаризация!F415)</f>
        <v/>
      </c>
      <c r="F415" s="12" t="str">
        <f>IF(Инвентаризация!C415="","",Инвентаризация!G415)</f>
        <v/>
      </c>
      <c r="G415" s="12" t="str">
        <f t="shared" si="30"/>
        <v/>
      </c>
      <c r="H415" s="13" t="str">
        <f t="shared" si="31"/>
        <v/>
      </c>
      <c r="I415" s="12" t="str">
        <f t="shared" si="32"/>
        <v/>
      </c>
      <c r="J415" s="12" t="str">
        <f t="shared" si="33"/>
        <v/>
      </c>
      <c r="K415" s="12" t="str">
        <f t="shared" si="34"/>
        <v/>
      </c>
      <c r="L415" s="10" t="str">
        <f>IF(Инвентаризация!C415="","",Инвентаризация!M415)</f>
        <v/>
      </c>
      <c r="M415" s="10" t="str">
        <f>IF(Инвентаризация!C415="","",Инвентаризация!N415)</f>
        <v/>
      </c>
      <c r="N415" s="10" t="str">
        <f>IF(Инвентаризация!C415="","",Инвентаризация!O415)</f>
        <v/>
      </c>
      <c r="O415" s="10" t="str">
        <f>IF(Инвентаризация!C415="","",Инвентаризация!P415)</f>
        <v/>
      </c>
      <c r="P415" s="8" t="str">
        <f>IF(Инвентаризация!C415="","",Инвентаризация!Q415)</f>
        <v/>
      </c>
    </row>
    <row r="416" spans="1:16">
      <c r="A416" s="10" t="str">
        <f>IF(Инвентаризация!C416="","",Инвентаризация!B416)</f>
        <v/>
      </c>
      <c r="B416" s="10" t="str">
        <f>IF(Инвентаризация!C416="","",Инвентаризация!C416)</f>
        <v/>
      </c>
      <c r="C416" s="5" t="str">
        <f>IF(Инвентаризация!C416="","",Инвентаризация!D416)</f>
        <v/>
      </c>
      <c r="D416" s="11" t="str">
        <f>IF(Инвентаризация!C416="","",Инвентаризация!E416)</f>
        <v/>
      </c>
      <c r="E416" s="12" t="str">
        <f>IF(Инвентаризация!C416="","",Инвентаризация!F416)</f>
        <v/>
      </c>
      <c r="F416" s="12" t="str">
        <f>IF(Инвентаризация!C416="","",Инвентаризация!G416)</f>
        <v/>
      </c>
      <c r="G416" s="12" t="str">
        <f t="shared" si="30"/>
        <v/>
      </c>
      <c r="H416" s="13" t="str">
        <f t="shared" si="31"/>
        <v/>
      </c>
      <c r="I416" s="12" t="str">
        <f t="shared" si="32"/>
        <v/>
      </c>
      <c r="J416" s="12" t="str">
        <f t="shared" si="33"/>
        <v/>
      </c>
      <c r="K416" s="12" t="str">
        <f t="shared" si="34"/>
        <v/>
      </c>
      <c r="L416" s="10" t="str">
        <f>IF(Инвентаризация!C416="","",Инвентаризация!M416)</f>
        <v/>
      </c>
      <c r="M416" s="10" t="str">
        <f>IF(Инвентаризация!C416="","",Инвентаризация!N416)</f>
        <v/>
      </c>
      <c r="N416" s="10" t="str">
        <f>IF(Инвентаризация!C416="","",Инвентаризация!O416)</f>
        <v/>
      </c>
      <c r="O416" s="10" t="str">
        <f>IF(Инвентаризация!C416="","",Инвентаризация!P416)</f>
        <v/>
      </c>
      <c r="P416" s="8" t="str">
        <f>IF(Инвентаризация!C416="","",Инвентаризация!Q416)</f>
        <v/>
      </c>
    </row>
    <row r="417" spans="1:16">
      <c r="A417" s="10" t="str">
        <f>IF(Инвентаризация!C417="","",Инвентаризация!B417)</f>
        <v/>
      </c>
      <c r="B417" s="10" t="str">
        <f>IF(Инвентаризация!C417="","",Инвентаризация!C417)</f>
        <v/>
      </c>
      <c r="C417" s="5" t="str">
        <f>IF(Инвентаризация!C417="","",Инвентаризация!D417)</f>
        <v/>
      </c>
      <c r="D417" s="11" t="str">
        <f>IF(Инвентаризация!C417="","",Инвентаризация!E417)</f>
        <v/>
      </c>
      <c r="E417" s="12" t="str">
        <f>IF(Инвентаризация!C417="","",Инвентаризация!F417)</f>
        <v/>
      </c>
      <c r="F417" s="12" t="str">
        <f>IF(Инвентаризация!C417="","",Инвентаризация!G417)</f>
        <v/>
      </c>
      <c r="G417" s="12" t="str">
        <f t="shared" si="30"/>
        <v/>
      </c>
      <c r="H417" s="13" t="str">
        <f t="shared" si="31"/>
        <v/>
      </c>
      <c r="I417" s="12" t="str">
        <f t="shared" si="32"/>
        <v/>
      </c>
      <c r="J417" s="12" t="str">
        <f t="shared" si="33"/>
        <v/>
      </c>
      <c r="K417" s="12" t="str">
        <f t="shared" si="34"/>
        <v/>
      </c>
      <c r="L417" s="10" t="str">
        <f>IF(Инвентаризация!C417="","",Инвентаризация!M417)</f>
        <v/>
      </c>
      <c r="M417" s="10" t="str">
        <f>IF(Инвентаризация!C417="","",Инвентаризация!N417)</f>
        <v/>
      </c>
      <c r="N417" s="10" t="str">
        <f>IF(Инвентаризация!C417="","",Инвентаризация!O417)</f>
        <v/>
      </c>
      <c r="O417" s="10" t="str">
        <f>IF(Инвентаризация!C417="","",Инвентаризация!P417)</f>
        <v/>
      </c>
      <c r="P417" s="8" t="str">
        <f>IF(Инвентаризация!C417="","",Инвентаризация!Q417)</f>
        <v/>
      </c>
    </row>
    <row r="418" spans="1:16">
      <c r="A418" s="10" t="str">
        <f>IF(Инвентаризация!C418="","",Инвентаризация!B418)</f>
        <v/>
      </c>
      <c r="B418" s="10" t="str">
        <f>IF(Инвентаризация!C418="","",Инвентаризация!C418)</f>
        <v/>
      </c>
      <c r="C418" s="5" t="str">
        <f>IF(Инвентаризация!C418="","",Инвентаризация!D418)</f>
        <v/>
      </c>
      <c r="D418" s="11" t="str">
        <f>IF(Инвентаризация!C418="","",Инвентаризация!E418)</f>
        <v/>
      </c>
      <c r="E418" s="12" t="str">
        <f>IF(Инвентаризация!C418="","",Инвентаризация!F418)</f>
        <v/>
      </c>
      <c r="F418" s="12" t="str">
        <f>IF(Инвентаризация!C418="","",Инвентаризация!G418)</f>
        <v/>
      </c>
      <c r="G418" s="12" t="str">
        <f t="shared" si="30"/>
        <v/>
      </c>
      <c r="H418" s="13" t="str">
        <f t="shared" si="31"/>
        <v/>
      </c>
      <c r="I418" s="12" t="str">
        <f t="shared" si="32"/>
        <v/>
      </c>
      <c r="J418" s="12" t="str">
        <f t="shared" si="33"/>
        <v/>
      </c>
      <c r="K418" s="12" t="str">
        <f t="shared" si="34"/>
        <v/>
      </c>
      <c r="L418" s="10" t="str">
        <f>IF(Инвентаризация!C418="","",Инвентаризация!M418)</f>
        <v/>
      </c>
      <c r="M418" s="10" t="str">
        <f>IF(Инвентаризация!C418="","",Инвентаризация!N418)</f>
        <v/>
      </c>
      <c r="N418" s="10" t="str">
        <f>IF(Инвентаризация!C418="","",Инвентаризация!O418)</f>
        <v/>
      </c>
      <c r="O418" s="10" t="str">
        <f>IF(Инвентаризация!C418="","",Инвентаризация!P418)</f>
        <v/>
      </c>
      <c r="P418" s="8" t="str">
        <f>IF(Инвентаризация!C418="","",Инвентаризация!Q418)</f>
        <v/>
      </c>
    </row>
    <row r="419" spans="1:16">
      <c r="A419" s="10" t="str">
        <f>IF(Инвентаризация!C419="","",Инвентаризация!B419)</f>
        <v/>
      </c>
      <c r="B419" s="10" t="str">
        <f>IF(Инвентаризация!C419="","",Инвентаризация!C419)</f>
        <v/>
      </c>
      <c r="C419" s="5" t="str">
        <f>IF(Инвентаризация!C419="","",Инвентаризация!D419)</f>
        <v/>
      </c>
      <c r="D419" s="11" t="str">
        <f>IF(Инвентаризация!C419="","",Инвентаризация!E419)</f>
        <v/>
      </c>
      <c r="E419" s="12" t="str">
        <f>IF(Инвентаризация!C419="","",Инвентаризация!F419)</f>
        <v/>
      </c>
      <c r="F419" s="12" t="str">
        <f>IF(Инвентаризация!C419="","",Инвентаризация!G419)</f>
        <v/>
      </c>
      <c r="G419" s="12" t="str">
        <f t="shared" si="30"/>
        <v/>
      </c>
      <c r="H419" s="13" t="str">
        <f t="shared" si="31"/>
        <v/>
      </c>
      <c r="I419" s="12" t="str">
        <f t="shared" si="32"/>
        <v/>
      </c>
      <c r="J419" s="12" t="str">
        <f t="shared" si="33"/>
        <v/>
      </c>
      <c r="K419" s="12" t="str">
        <f t="shared" si="34"/>
        <v/>
      </c>
      <c r="L419" s="10" t="str">
        <f>IF(Инвентаризация!C419="","",Инвентаризация!M419)</f>
        <v/>
      </c>
      <c r="M419" s="10" t="str">
        <f>IF(Инвентаризация!C419="","",Инвентаризация!N419)</f>
        <v/>
      </c>
      <c r="N419" s="10" t="str">
        <f>IF(Инвентаризация!C419="","",Инвентаризация!O419)</f>
        <v/>
      </c>
      <c r="O419" s="10" t="str">
        <f>IF(Инвентаризация!C419="","",Инвентаризация!P419)</f>
        <v/>
      </c>
      <c r="P419" s="8" t="str">
        <f>IF(Инвентаризация!C419="","",Инвентаризация!Q419)</f>
        <v/>
      </c>
    </row>
    <row r="420" spans="1:16">
      <c r="A420" s="10" t="str">
        <f>IF(Инвентаризация!C420="","",Инвентаризация!B420)</f>
        <v/>
      </c>
      <c r="B420" s="10" t="str">
        <f>IF(Инвентаризация!C420="","",Инвентаризация!C420)</f>
        <v/>
      </c>
      <c r="C420" s="5" t="str">
        <f>IF(Инвентаризация!C420="","",Инвентаризация!D420)</f>
        <v/>
      </c>
      <c r="D420" s="11" t="str">
        <f>IF(Инвентаризация!C420="","",Инвентаризация!E420)</f>
        <v/>
      </c>
      <c r="E420" s="12" t="str">
        <f>IF(Инвентаризация!C420="","",Инвентаризация!F420)</f>
        <v/>
      </c>
      <c r="F420" s="12" t="str">
        <f>IF(Инвентаризация!C420="","",Инвентаризация!G420)</f>
        <v/>
      </c>
      <c r="G420" s="12" t="str">
        <f t="shared" si="30"/>
        <v/>
      </c>
      <c r="H420" s="13" t="str">
        <f t="shared" si="31"/>
        <v/>
      </c>
      <c r="I420" s="12" t="str">
        <f t="shared" si="32"/>
        <v/>
      </c>
      <c r="J420" s="12" t="str">
        <f t="shared" si="33"/>
        <v/>
      </c>
      <c r="K420" s="12" t="str">
        <f t="shared" si="34"/>
        <v/>
      </c>
      <c r="L420" s="10" t="str">
        <f>IF(Инвентаризация!C420="","",Инвентаризация!M420)</f>
        <v/>
      </c>
      <c r="M420" s="10" t="str">
        <f>IF(Инвентаризация!C420="","",Инвентаризация!N420)</f>
        <v/>
      </c>
      <c r="N420" s="10" t="str">
        <f>IF(Инвентаризация!C420="","",Инвентаризация!O420)</f>
        <v/>
      </c>
      <c r="O420" s="10" t="str">
        <f>IF(Инвентаризация!C420="","",Инвентаризация!P420)</f>
        <v/>
      </c>
      <c r="P420" s="8" t="str">
        <f>IF(Инвентаризация!C420="","",Инвентаризация!Q420)</f>
        <v/>
      </c>
    </row>
    <row r="421" spans="1:16">
      <c r="A421" s="10" t="str">
        <f>IF(Инвентаризация!C421="","",Инвентаризация!B421)</f>
        <v/>
      </c>
      <c r="B421" s="10" t="str">
        <f>IF(Инвентаризация!C421="","",Инвентаризация!C421)</f>
        <v/>
      </c>
      <c r="C421" s="5" t="str">
        <f>IF(Инвентаризация!C421="","",Инвентаризация!D421)</f>
        <v/>
      </c>
      <c r="D421" s="11" t="str">
        <f>IF(Инвентаризация!C421="","",Инвентаризация!E421)</f>
        <v/>
      </c>
      <c r="E421" s="12" t="str">
        <f>IF(Инвентаризация!C421="","",Инвентаризация!F421)</f>
        <v/>
      </c>
      <c r="F421" s="12" t="str">
        <f>IF(Инвентаризация!C421="","",Инвентаризация!G421)</f>
        <v/>
      </c>
      <c r="G421" s="12" t="str">
        <f t="shared" si="30"/>
        <v/>
      </c>
      <c r="H421" s="13" t="str">
        <f t="shared" si="31"/>
        <v/>
      </c>
      <c r="I421" s="12" t="str">
        <f t="shared" si="32"/>
        <v/>
      </c>
      <c r="J421" s="12" t="str">
        <f t="shared" si="33"/>
        <v/>
      </c>
      <c r="K421" s="12" t="str">
        <f t="shared" si="34"/>
        <v/>
      </c>
      <c r="L421" s="10" t="str">
        <f>IF(Инвентаризация!C421="","",Инвентаризация!M421)</f>
        <v/>
      </c>
      <c r="M421" s="10" t="str">
        <f>IF(Инвентаризация!C421="","",Инвентаризация!N421)</f>
        <v/>
      </c>
      <c r="N421" s="10" t="str">
        <f>IF(Инвентаризация!C421="","",Инвентаризация!O421)</f>
        <v/>
      </c>
      <c r="O421" s="10" t="str">
        <f>IF(Инвентаризация!C421="","",Инвентаризация!P421)</f>
        <v/>
      </c>
      <c r="P421" s="8" t="str">
        <f>IF(Инвентаризация!C421="","",Инвентаризация!Q421)</f>
        <v/>
      </c>
    </row>
    <row r="422" spans="1:16">
      <c r="A422" s="10" t="str">
        <f>IF(Инвентаризация!C422="","",Инвентаризация!B422)</f>
        <v/>
      </c>
      <c r="B422" s="10" t="str">
        <f>IF(Инвентаризация!C422="","",Инвентаризация!C422)</f>
        <v/>
      </c>
      <c r="C422" s="5" t="str">
        <f>IF(Инвентаризация!C422="","",Инвентаризация!D422)</f>
        <v/>
      </c>
      <c r="D422" s="11" t="str">
        <f>IF(Инвентаризация!C422="","",Инвентаризация!E422)</f>
        <v/>
      </c>
      <c r="E422" s="12" t="str">
        <f>IF(Инвентаризация!C422="","",Инвентаризация!F422)</f>
        <v/>
      </c>
      <c r="F422" s="12" t="str">
        <f>IF(Инвентаризация!C422="","",Инвентаризация!G422)</f>
        <v/>
      </c>
      <c r="G422" s="12" t="str">
        <f t="shared" si="30"/>
        <v/>
      </c>
      <c r="H422" s="13" t="str">
        <f t="shared" si="31"/>
        <v/>
      </c>
      <c r="I422" s="12" t="str">
        <f t="shared" si="32"/>
        <v/>
      </c>
      <c r="J422" s="12" t="str">
        <f t="shared" si="33"/>
        <v/>
      </c>
      <c r="K422" s="12" t="str">
        <f t="shared" si="34"/>
        <v/>
      </c>
      <c r="L422" s="10" t="str">
        <f>IF(Инвентаризация!C422="","",Инвентаризация!M422)</f>
        <v/>
      </c>
      <c r="M422" s="10" t="str">
        <f>IF(Инвентаризация!C422="","",Инвентаризация!N422)</f>
        <v/>
      </c>
      <c r="N422" s="10" t="str">
        <f>IF(Инвентаризация!C422="","",Инвентаризация!O422)</f>
        <v/>
      </c>
      <c r="O422" s="10" t="str">
        <f>IF(Инвентаризация!C422="","",Инвентаризация!P422)</f>
        <v/>
      </c>
      <c r="P422" s="8" t="str">
        <f>IF(Инвентаризация!C422="","",Инвентаризация!Q422)</f>
        <v/>
      </c>
    </row>
    <row r="423" spans="1:16">
      <c r="A423" s="10" t="str">
        <f>IF(Инвентаризация!C423="","",Инвентаризация!B423)</f>
        <v/>
      </c>
      <c r="B423" s="10" t="str">
        <f>IF(Инвентаризация!C423="","",Инвентаризация!C423)</f>
        <v/>
      </c>
      <c r="C423" s="5" t="str">
        <f>IF(Инвентаризация!C423="","",Инвентаризация!D423)</f>
        <v/>
      </c>
      <c r="D423" s="11" t="str">
        <f>IF(Инвентаризация!C423="","",Инвентаризация!E423)</f>
        <v/>
      </c>
      <c r="E423" s="12" t="str">
        <f>IF(Инвентаризация!C423="","",Инвентаризация!F423)</f>
        <v/>
      </c>
      <c r="F423" s="12" t="str">
        <f>IF(Инвентаризация!C423="","",Инвентаризация!G423)</f>
        <v/>
      </c>
      <c r="G423" s="12" t="str">
        <f t="shared" si="30"/>
        <v/>
      </c>
      <c r="H423" s="13" t="str">
        <f t="shared" si="31"/>
        <v/>
      </c>
      <c r="I423" s="12" t="str">
        <f t="shared" si="32"/>
        <v/>
      </c>
      <c r="J423" s="12" t="str">
        <f t="shared" si="33"/>
        <v/>
      </c>
      <c r="K423" s="12" t="str">
        <f t="shared" si="34"/>
        <v/>
      </c>
      <c r="L423" s="10" t="str">
        <f>IF(Инвентаризация!C423="","",Инвентаризация!M423)</f>
        <v/>
      </c>
      <c r="M423" s="10" t="str">
        <f>IF(Инвентаризация!C423="","",Инвентаризация!N423)</f>
        <v/>
      </c>
      <c r="N423" s="10" t="str">
        <f>IF(Инвентаризация!C423="","",Инвентаризация!O423)</f>
        <v/>
      </c>
      <c r="O423" s="10" t="str">
        <f>IF(Инвентаризация!C423="","",Инвентаризация!P423)</f>
        <v/>
      </c>
      <c r="P423" s="8" t="str">
        <f>IF(Инвентаризация!C423="","",Инвентаризация!Q423)</f>
        <v/>
      </c>
    </row>
    <row r="424" spans="1:16">
      <c r="A424" s="10" t="str">
        <f>IF(Инвентаризация!C424="","",Инвентаризация!B424)</f>
        <v/>
      </c>
      <c r="B424" s="10" t="str">
        <f>IF(Инвентаризация!C424="","",Инвентаризация!C424)</f>
        <v/>
      </c>
      <c r="C424" s="5" t="str">
        <f>IF(Инвентаризация!C424="","",Инвентаризация!D424)</f>
        <v/>
      </c>
      <c r="D424" s="11" t="str">
        <f>IF(Инвентаризация!C424="","",Инвентаризация!E424)</f>
        <v/>
      </c>
      <c r="E424" s="12" t="str">
        <f>IF(Инвентаризация!C424="","",Инвентаризация!F424)</f>
        <v/>
      </c>
      <c r="F424" s="12" t="str">
        <f>IF(Инвентаризация!C424="","",Инвентаризация!G424)</f>
        <v/>
      </c>
      <c r="G424" s="12" t="str">
        <f t="shared" si="30"/>
        <v/>
      </c>
      <c r="H424" s="13" t="str">
        <f t="shared" si="31"/>
        <v/>
      </c>
      <c r="I424" s="12" t="str">
        <f t="shared" si="32"/>
        <v/>
      </c>
      <c r="J424" s="12" t="str">
        <f t="shared" si="33"/>
        <v/>
      </c>
      <c r="K424" s="12" t="str">
        <f t="shared" si="34"/>
        <v/>
      </c>
      <c r="L424" s="10" t="str">
        <f>IF(Инвентаризация!C424="","",Инвентаризация!M424)</f>
        <v/>
      </c>
      <c r="M424" s="10" t="str">
        <f>IF(Инвентаризация!C424="","",Инвентаризация!N424)</f>
        <v/>
      </c>
      <c r="N424" s="10" t="str">
        <f>IF(Инвентаризация!C424="","",Инвентаризация!O424)</f>
        <v/>
      </c>
      <c r="O424" s="10" t="str">
        <f>IF(Инвентаризация!C424="","",Инвентаризация!P424)</f>
        <v/>
      </c>
      <c r="P424" s="8" t="str">
        <f>IF(Инвентаризация!C424="","",Инвентаризация!Q424)</f>
        <v/>
      </c>
    </row>
    <row r="425" spans="1:16">
      <c r="A425" s="10" t="str">
        <f>IF(Инвентаризация!C425="","",Инвентаризация!B425)</f>
        <v/>
      </c>
      <c r="B425" s="10" t="str">
        <f>IF(Инвентаризация!C425="","",Инвентаризация!C425)</f>
        <v/>
      </c>
      <c r="C425" s="5" t="str">
        <f>IF(Инвентаризация!C425="","",Инвентаризация!D425)</f>
        <v/>
      </c>
      <c r="D425" s="11" t="str">
        <f>IF(Инвентаризация!C425="","",Инвентаризация!E425)</f>
        <v/>
      </c>
      <c r="E425" s="12" t="str">
        <f>IF(Инвентаризация!C425="","",Инвентаризация!F425)</f>
        <v/>
      </c>
      <c r="F425" s="12" t="str">
        <f>IF(Инвентаризация!C425="","",Инвентаризация!G425)</f>
        <v/>
      </c>
      <c r="G425" s="12" t="str">
        <f t="shared" si="30"/>
        <v/>
      </c>
      <c r="H425" s="13" t="str">
        <f t="shared" si="31"/>
        <v/>
      </c>
      <c r="I425" s="12" t="str">
        <f t="shared" si="32"/>
        <v/>
      </c>
      <c r="J425" s="12" t="str">
        <f t="shared" si="33"/>
        <v/>
      </c>
      <c r="K425" s="12" t="str">
        <f t="shared" si="34"/>
        <v/>
      </c>
      <c r="L425" s="10" t="str">
        <f>IF(Инвентаризация!C425="","",Инвентаризация!M425)</f>
        <v/>
      </c>
      <c r="M425" s="10" t="str">
        <f>IF(Инвентаризация!C425="","",Инвентаризация!N425)</f>
        <v/>
      </c>
      <c r="N425" s="10" t="str">
        <f>IF(Инвентаризация!C425="","",Инвентаризация!O425)</f>
        <v/>
      </c>
      <c r="O425" s="10" t="str">
        <f>IF(Инвентаризация!C425="","",Инвентаризация!P425)</f>
        <v/>
      </c>
      <c r="P425" s="8" t="str">
        <f>IF(Инвентаризация!C425="","",Инвентаризация!Q425)</f>
        <v/>
      </c>
    </row>
    <row r="426" spans="1:16">
      <c r="A426" s="10" t="str">
        <f>IF(Инвентаризация!C426="","",Инвентаризация!B426)</f>
        <v/>
      </c>
      <c r="B426" s="10" t="str">
        <f>IF(Инвентаризация!C426="","",Инвентаризация!C426)</f>
        <v/>
      </c>
      <c r="C426" s="5" t="str">
        <f>IF(Инвентаризация!C426="","",Инвентаризация!D426)</f>
        <v/>
      </c>
      <c r="D426" s="11" t="str">
        <f>IF(Инвентаризация!C426="","",Инвентаризация!E426)</f>
        <v/>
      </c>
      <c r="E426" s="12" t="str">
        <f>IF(Инвентаризация!C426="","",Инвентаризация!F426)</f>
        <v/>
      </c>
      <c r="F426" s="12" t="str">
        <f>IF(Инвентаризация!C426="","",Инвентаризация!G426)</f>
        <v/>
      </c>
      <c r="G426" s="12" t="str">
        <f t="shared" si="30"/>
        <v/>
      </c>
      <c r="H426" s="13" t="str">
        <f t="shared" si="31"/>
        <v/>
      </c>
      <c r="I426" s="12" t="str">
        <f t="shared" si="32"/>
        <v/>
      </c>
      <c r="J426" s="12" t="str">
        <f t="shared" si="33"/>
        <v/>
      </c>
      <c r="K426" s="12" t="str">
        <f t="shared" si="34"/>
        <v/>
      </c>
      <c r="L426" s="10" t="str">
        <f>IF(Инвентаризация!C426="","",Инвентаризация!M426)</f>
        <v/>
      </c>
      <c r="M426" s="10" t="str">
        <f>IF(Инвентаризация!C426="","",Инвентаризация!N426)</f>
        <v/>
      </c>
      <c r="N426" s="10" t="str">
        <f>IF(Инвентаризация!C426="","",Инвентаризация!O426)</f>
        <v/>
      </c>
      <c r="O426" s="10" t="str">
        <f>IF(Инвентаризация!C426="","",Инвентаризация!P426)</f>
        <v/>
      </c>
      <c r="P426" s="8" t="str">
        <f>IF(Инвентаризация!C426="","",Инвентаризация!Q426)</f>
        <v/>
      </c>
    </row>
    <row r="427" spans="1:16">
      <c r="A427" s="10" t="str">
        <f>IF(Инвентаризация!C427="","",Инвентаризация!B427)</f>
        <v/>
      </c>
      <c r="B427" s="10" t="str">
        <f>IF(Инвентаризация!C427="","",Инвентаризация!C427)</f>
        <v/>
      </c>
      <c r="C427" s="5" t="str">
        <f>IF(Инвентаризация!C427="","",Инвентаризация!D427)</f>
        <v/>
      </c>
      <c r="D427" s="11" t="str">
        <f>IF(Инвентаризация!C427="","",Инвентаризация!E427)</f>
        <v/>
      </c>
      <c r="E427" s="12" t="str">
        <f>IF(Инвентаризация!C427="","",Инвентаризация!F427)</f>
        <v/>
      </c>
      <c r="F427" s="12" t="str">
        <f>IF(Инвентаризация!C427="","",Инвентаризация!G427)</f>
        <v/>
      </c>
      <c r="G427" s="12" t="str">
        <f t="shared" si="30"/>
        <v/>
      </c>
      <c r="H427" s="13" t="str">
        <f t="shared" si="31"/>
        <v/>
      </c>
      <c r="I427" s="12" t="str">
        <f t="shared" si="32"/>
        <v/>
      </c>
      <c r="J427" s="12" t="str">
        <f t="shared" si="33"/>
        <v/>
      </c>
      <c r="K427" s="12" t="str">
        <f t="shared" si="34"/>
        <v/>
      </c>
      <c r="L427" s="10" t="str">
        <f>IF(Инвентаризация!C427="","",Инвентаризация!M427)</f>
        <v/>
      </c>
      <c r="M427" s="10" t="str">
        <f>IF(Инвентаризация!C427="","",Инвентаризация!N427)</f>
        <v/>
      </c>
      <c r="N427" s="10" t="str">
        <f>IF(Инвентаризация!C427="","",Инвентаризация!O427)</f>
        <v/>
      </c>
      <c r="O427" s="10" t="str">
        <f>IF(Инвентаризация!C427="","",Инвентаризация!P427)</f>
        <v/>
      </c>
      <c r="P427" s="8" t="str">
        <f>IF(Инвентаризация!C427="","",Инвентаризация!Q427)</f>
        <v/>
      </c>
    </row>
    <row r="428" spans="1:16">
      <c r="A428" s="10" t="str">
        <f>IF(Инвентаризация!C428="","",Инвентаризация!B428)</f>
        <v/>
      </c>
      <c r="B428" s="10" t="str">
        <f>IF(Инвентаризация!C428="","",Инвентаризация!C428)</f>
        <v/>
      </c>
      <c r="C428" s="5" t="str">
        <f>IF(Инвентаризация!C428="","",Инвентаризация!D428)</f>
        <v/>
      </c>
      <c r="D428" s="11" t="str">
        <f>IF(Инвентаризация!C428="","",Инвентаризация!E428)</f>
        <v/>
      </c>
      <c r="E428" s="12" t="str">
        <f>IF(Инвентаризация!C428="","",Инвентаризация!F428)</f>
        <v/>
      </c>
      <c r="F428" s="12" t="str">
        <f>IF(Инвентаризация!C428="","",Инвентаризация!G428)</f>
        <v/>
      </c>
      <c r="G428" s="12" t="str">
        <f t="shared" si="30"/>
        <v/>
      </c>
      <c r="H428" s="13" t="str">
        <f t="shared" si="31"/>
        <v/>
      </c>
      <c r="I428" s="12" t="str">
        <f t="shared" si="32"/>
        <v/>
      </c>
      <c r="J428" s="12" t="str">
        <f t="shared" si="33"/>
        <v/>
      </c>
      <c r="K428" s="12" t="str">
        <f t="shared" si="34"/>
        <v/>
      </c>
      <c r="L428" s="10" t="str">
        <f>IF(Инвентаризация!C428="","",Инвентаризация!M428)</f>
        <v/>
      </c>
      <c r="M428" s="10" t="str">
        <f>IF(Инвентаризация!C428="","",Инвентаризация!N428)</f>
        <v/>
      </c>
      <c r="N428" s="10" t="str">
        <f>IF(Инвентаризация!C428="","",Инвентаризация!O428)</f>
        <v/>
      </c>
      <c r="O428" s="10" t="str">
        <f>IF(Инвентаризация!C428="","",Инвентаризация!P428)</f>
        <v/>
      </c>
      <c r="P428" s="8" t="str">
        <f>IF(Инвентаризация!C428="","",Инвентаризация!Q428)</f>
        <v/>
      </c>
    </row>
    <row r="429" spans="1:16">
      <c r="A429" s="10" t="str">
        <f>IF(Инвентаризация!C429="","",Инвентаризация!B429)</f>
        <v/>
      </c>
      <c r="B429" s="10" t="str">
        <f>IF(Инвентаризация!C429="","",Инвентаризация!C429)</f>
        <v/>
      </c>
      <c r="C429" s="5" t="str">
        <f>IF(Инвентаризация!C429="","",Инвентаризация!D429)</f>
        <v/>
      </c>
      <c r="D429" s="11" t="str">
        <f>IF(Инвентаризация!C429="","",Инвентаризация!E429)</f>
        <v/>
      </c>
      <c r="E429" s="12" t="str">
        <f>IF(Инвентаризация!C429="","",Инвентаризация!F429)</f>
        <v/>
      </c>
      <c r="F429" s="12" t="str">
        <f>IF(Инвентаризация!C429="","",Инвентаризация!G429)</f>
        <v/>
      </c>
      <c r="G429" s="12" t="str">
        <f t="shared" si="30"/>
        <v/>
      </c>
      <c r="H429" s="13" t="str">
        <f t="shared" si="31"/>
        <v/>
      </c>
      <c r="I429" s="12" t="str">
        <f t="shared" si="32"/>
        <v/>
      </c>
      <c r="J429" s="12" t="str">
        <f t="shared" si="33"/>
        <v/>
      </c>
      <c r="K429" s="12" t="str">
        <f t="shared" si="34"/>
        <v/>
      </c>
      <c r="L429" s="10" t="str">
        <f>IF(Инвентаризация!C429="","",Инвентаризация!M429)</f>
        <v/>
      </c>
      <c r="M429" s="10" t="str">
        <f>IF(Инвентаризация!C429="","",Инвентаризация!N429)</f>
        <v/>
      </c>
      <c r="N429" s="10" t="str">
        <f>IF(Инвентаризация!C429="","",Инвентаризация!O429)</f>
        <v/>
      </c>
      <c r="O429" s="10" t="str">
        <f>IF(Инвентаризация!C429="","",Инвентаризация!P429)</f>
        <v/>
      </c>
      <c r="P429" s="8" t="str">
        <f>IF(Инвентаризация!C429="","",Инвентаризация!Q429)</f>
        <v/>
      </c>
    </row>
    <row r="430" spans="1:16">
      <c r="A430" s="10" t="str">
        <f>IF(Инвентаризация!C430="","",Инвентаризация!B430)</f>
        <v/>
      </c>
      <c r="B430" s="10" t="str">
        <f>IF(Инвентаризация!C430="","",Инвентаризация!C430)</f>
        <v/>
      </c>
      <c r="C430" s="5" t="str">
        <f>IF(Инвентаризация!C430="","",Инвентаризация!D430)</f>
        <v/>
      </c>
      <c r="D430" s="11" t="str">
        <f>IF(Инвентаризация!C430="","",Инвентаризация!E430)</f>
        <v/>
      </c>
      <c r="E430" s="12" t="str">
        <f>IF(Инвентаризация!C430="","",Инвентаризация!F430)</f>
        <v/>
      </c>
      <c r="F430" s="12" t="str">
        <f>IF(Инвентаризация!C430="","",Инвентаризация!G430)</f>
        <v/>
      </c>
      <c r="G430" s="12" t="str">
        <f t="shared" si="30"/>
        <v/>
      </c>
      <c r="H430" s="13" t="str">
        <f t="shared" si="31"/>
        <v/>
      </c>
      <c r="I430" s="12" t="str">
        <f t="shared" si="32"/>
        <v/>
      </c>
      <c r="J430" s="12" t="str">
        <f t="shared" si="33"/>
        <v/>
      </c>
      <c r="K430" s="12" t="str">
        <f t="shared" si="34"/>
        <v/>
      </c>
      <c r="L430" s="10" t="str">
        <f>IF(Инвентаризация!C430="","",Инвентаризация!M430)</f>
        <v/>
      </c>
      <c r="M430" s="10" t="str">
        <f>IF(Инвентаризация!C430="","",Инвентаризация!N430)</f>
        <v/>
      </c>
      <c r="N430" s="10" t="str">
        <f>IF(Инвентаризация!C430="","",Инвентаризация!O430)</f>
        <v/>
      </c>
      <c r="O430" s="10" t="str">
        <f>IF(Инвентаризация!C430="","",Инвентаризация!P430)</f>
        <v/>
      </c>
      <c r="P430" s="8" t="str">
        <f>IF(Инвентаризация!C430="","",Инвентаризация!Q430)</f>
        <v/>
      </c>
    </row>
    <row r="431" spans="1:16">
      <c r="A431" s="10" t="str">
        <f>IF(Инвентаризация!C431="","",Инвентаризация!B431)</f>
        <v/>
      </c>
      <c r="B431" s="10" t="str">
        <f>IF(Инвентаризация!C431="","",Инвентаризация!C431)</f>
        <v/>
      </c>
      <c r="C431" s="5" t="str">
        <f>IF(Инвентаризация!C431="","",Инвентаризация!D431)</f>
        <v/>
      </c>
      <c r="D431" s="11" t="str">
        <f>IF(Инвентаризация!C431="","",Инвентаризация!E431)</f>
        <v/>
      </c>
      <c r="E431" s="12" t="str">
        <f>IF(Инвентаризация!C431="","",Инвентаризация!F431)</f>
        <v/>
      </c>
      <c r="F431" s="12" t="str">
        <f>IF(Инвентаризация!C431="","",Инвентаризация!G431)</f>
        <v/>
      </c>
      <c r="G431" s="12" t="str">
        <f t="shared" si="30"/>
        <v/>
      </c>
      <c r="H431" s="13" t="str">
        <f t="shared" si="31"/>
        <v/>
      </c>
      <c r="I431" s="12" t="str">
        <f t="shared" si="32"/>
        <v/>
      </c>
      <c r="J431" s="12" t="str">
        <f t="shared" si="33"/>
        <v/>
      </c>
      <c r="K431" s="12" t="str">
        <f t="shared" si="34"/>
        <v/>
      </c>
      <c r="L431" s="10" t="str">
        <f>IF(Инвентаризация!C431="","",Инвентаризация!M431)</f>
        <v/>
      </c>
      <c r="M431" s="10" t="str">
        <f>IF(Инвентаризация!C431="","",Инвентаризация!N431)</f>
        <v/>
      </c>
      <c r="N431" s="10" t="str">
        <f>IF(Инвентаризация!C431="","",Инвентаризация!O431)</f>
        <v/>
      </c>
      <c r="O431" s="10" t="str">
        <f>IF(Инвентаризация!C431="","",Инвентаризация!P431)</f>
        <v/>
      </c>
      <c r="P431" s="8" t="str">
        <f>IF(Инвентаризация!C431="","",Инвентаризация!Q431)</f>
        <v/>
      </c>
    </row>
    <row r="432" spans="1:16">
      <c r="A432" s="10" t="str">
        <f>IF(Инвентаризация!C432="","",Инвентаризация!B432)</f>
        <v/>
      </c>
      <c r="B432" s="10" t="str">
        <f>IF(Инвентаризация!C432="","",Инвентаризация!C432)</f>
        <v/>
      </c>
      <c r="C432" s="5" t="str">
        <f>IF(Инвентаризация!C432="","",Инвентаризация!D432)</f>
        <v/>
      </c>
      <c r="D432" s="11" t="str">
        <f>IF(Инвентаризация!C432="","",Инвентаризация!E432)</f>
        <v/>
      </c>
      <c r="E432" s="12" t="str">
        <f>IF(Инвентаризация!C432="","",Инвентаризация!F432)</f>
        <v/>
      </c>
      <c r="F432" s="12" t="str">
        <f>IF(Инвентаризация!C432="","",Инвентаризация!G432)</f>
        <v/>
      </c>
      <c r="G432" s="12" t="str">
        <f t="shared" si="30"/>
        <v/>
      </c>
      <c r="H432" s="13" t="str">
        <f t="shared" si="31"/>
        <v/>
      </c>
      <c r="I432" s="12" t="str">
        <f t="shared" si="32"/>
        <v/>
      </c>
      <c r="J432" s="12" t="str">
        <f t="shared" si="33"/>
        <v/>
      </c>
      <c r="K432" s="12" t="str">
        <f t="shared" si="34"/>
        <v/>
      </c>
      <c r="L432" s="10" t="str">
        <f>IF(Инвентаризация!C432="","",Инвентаризация!M432)</f>
        <v/>
      </c>
      <c r="M432" s="10" t="str">
        <f>IF(Инвентаризация!C432="","",Инвентаризация!N432)</f>
        <v/>
      </c>
      <c r="N432" s="10" t="str">
        <f>IF(Инвентаризация!C432="","",Инвентаризация!O432)</f>
        <v/>
      </c>
      <c r="O432" s="10" t="str">
        <f>IF(Инвентаризация!C432="","",Инвентаризация!P432)</f>
        <v/>
      </c>
      <c r="P432" s="8" t="str">
        <f>IF(Инвентаризация!C432="","",Инвентаризация!Q432)</f>
        <v/>
      </c>
    </row>
    <row r="433" spans="1:16">
      <c r="A433" s="10" t="str">
        <f>IF(Инвентаризация!C433="","",Инвентаризация!B433)</f>
        <v/>
      </c>
      <c r="B433" s="10" t="str">
        <f>IF(Инвентаризация!C433="","",Инвентаризация!C433)</f>
        <v/>
      </c>
      <c r="C433" s="5" t="str">
        <f>IF(Инвентаризация!C433="","",Инвентаризация!D433)</f>
        <v/>
      </c>
      <c r="D433" s="11" t="str">
        <f>IF(Инвентаризация!C433="","",Инвентаризация!E433)</f>
        <v/>
      </c>
      <c r="E433" s="12" t="str">
        <f>IF(Инвентаризация!C433="","",Инвентаризация!F433)</f>
        <v/>
      </c>
      <c r="F433" s="12" t="str">
        <f>IF(Инвентаризация!C433="","",Инвентаризация!G433)</f>
        <v/>
      </c>
      <c r="G433" s="12" t="str">
        <f t="shared" si="30"/>
        <v/>
      </c>
      <c r="H433" s="13" t="str">
        <f t="shared" si="31"/>
        <v/>
      </c>
      <c r="I433" s="12" t="str">
        <f t="shared" si="32"/>
        <v/>
      </c>
      <c r="J433" s="12" t="str">
        <f t="shared" si="33"/>
        <v/>
      </c>
      <c r="K433" s="12" t="str">
        <f t="shared" si="34"/>
        <v/>
      </c>
      <c r="L433" s="10" t="str">
        <f>IF(Инвентаризация!C433="","",Инвентаризация!M433)</f>
        <v/>
      </c>
      <c r="M433" s="10" t="str">
        <f>IF(Инвентаризация!C433="","",Инвентаризация!N433)</f>
        <v/>
      </c>
      <c r="N433" s="10" t="str">
        <f>IF(Инвентаризация!C433="","",Инвентаризация!O433)</f>
        <v/>
      </c>
      <c r="O433" s="10" t="str">
        <f>IF(Инвентаризация!C433="","",Инвентаризация!P433)</f>
        <v/>
      </c>
      <c r="P433" s="8" t="str">
        <f>IF(Инвентаризация!C433="","",Инвентаризация!Q433)</f>
        <v/>
      </c>
    </row>
    <row r="434" spans="1:16">
      <c r="A434" s="10" t="str">
        <f>IF(Инвентаризация!C434="","",Инвентаризация!B434)</f>
        <v/>
      </c>
      <c r="B434" s="10" t="str">
        <f>IF(Инвентаризация!C434="","",Инвентаризация!C434)</f>
        <v/>
      </c>
      <c r="C434" s="5" t="str">
        <f>IF(Инвентаризация!C434="","",Инвентаризация!D434)</f>
        <v/>
      </c>
      <c r="D434" s="11" t="str">
        <f>IF(Инвентаризация!C434="","",Инвентаризация!E434)</f>
        <v/>
      </c>
      <c r="E434" s="12" t="str">
        <f>IF(Инвентаризация!C434="","",Инвентаризация!F434)</f>
        <v/>
      </c>
      <c r="F434" s="12" t="str">
        <f>IF(Инвентаризация!C434="","",Инвентаризация!G434)</f>
        <v/>
      </c>
      <c r="G434" s="12" t="str">
        <f t="shared" si="30"/>
        <v/>
      </c>
      <c r="H434" s="13" t="str">
        <f t="shared" si="31"/>
        <v/>
      </c>
      <c r="I434" s="12" t="str">
        <f t="shared" si="32"/>
        <v/>
      </c>
      <c r="J434" s="12" t="str">
        <f t="shared" si="33"/>
        <v/>
      </c>
      <c r="K434" s="12" t="str">
        <f t="shared" si="34"/>
        <v/>
      </c>
      <c r="L434" s="10" t="str">
        <f>IF(Инвентаризация!C434="","",Инвентаризация!M434)</f>
        <v/>
      </c>
      <c r="M434" s="10" t="str">
        <f>IF(Инвентаризация!C434="","",Инвентаризация!N434)</f>
        <v/>
      </c>
      <c r="N434" s="10" t="str">
        <f>IF(Инвентаризация!C434="","",Инвентаризация!O434)</f>
        <v/>
      </c>
      <c r="O434" s="10" t="str">
        <f>IF(Инвентаризация!C434="","",Инвентаризация!P434)</f>
        <v/>
      </c>
      <c r="P434" s="8" t="str">
        <f>IF(Инвентаризация!C434="","",Инвентаризация!Q434)</f>
        <v/>
      </c>
    </row>
    <row r="435" spans="1:16">
      <c r="A435" s="10" t="str">
        <f>IF(Инвентаризация!C435="","",Инвентаризация!B435)</f>
        <v/>
      </c>
      <c r="B435" s="10" t="str">
        <f>IF(Инвентаризация!C435="","",Инвентаризация!C435)</f>
        <v/>
      </c>
      <c r="C435" s="5" t="str">
        <f>IF(Инвентаризация!C435="","",Инвентаризация!D435)</f>
        <v/>
      </c>
      <c r="D435" s="11" t="str">
        <f>IF(Инвентаризация!C435="","",Инвентаризация!E435)</f>
        <v/>
      </c>
      <c r="E435" s="12" t="str">
        <f>IF(Инвентаризация!C435="","",Инвентаризация!F435)</f>
        <v/>
      </c>
      <c r="F435" s="12" t="str">
        <f>IF(Инвентаризация!C435="","",Инвентаризация!G435)</f>
        <v/>
      </c>
      <c r="G435" s="12" t="str">
        <f t="shared" si="30"/>
        <v/>
      </c>
      <c r="H435" s="13" t="str">
        <f t="shared" si="31"/>
        <v/>
      </c>
      <c r="I435" s="12" t="str">
        <f t="shared" si="32"/>
        <v/>
      </c>
      <c r="J435" s="12" t="str">
        <f t="shared" si="33"/>
        <v/>
      </c>
      <c r="K435" s="12" t="str">
        <f t="shared" si="34"/>
        <v/>
      </c>
      <c r="L435" s="10" t="str">
        <f>IF(Инвентаризация!C435="","",Инвентаризация!M435)</f>
        <v/>
      </c>
      <c r="M435" s="10" t="str">
        <f>IF(Инвентаризация!C435="","",Инвентаризация!N435)</f>
        <v/>
      </c>
      <c r="N435" s="10" t="str">
        <f>IF(Инвентаризация!C435="","",Инвентаризация!O435)</f>
        <v/>
      </c>
      <c r="O435" s="10" t="str">
        <f>IF(Инвентаризация!C435="","",Инвентаризация!P435)</f>
        <v/>
      </c>
      <c r="P435" s="8" t="str">
        <f>IF(Инвентаризация!C435="","",Инвентаризация!Q435)</f>
        <v/>
      </c>
    </row>
    <row r="436" spans="1:16">
      <c r="A436" s="10" t="str">
        <f>IF(Инвентаризация!C436="","",Инвентаризация!B436)</f>
        <v/>
      </c>
      <c r="B436" s="10" t="str">
        <f>IF(Инвентаризация!C436="","",Инвентаризация!C436)</f>
        <v/>
      </c>
      <c r="C436" s="5" t="str">
        <f>IF(Инвентаризация!C436="","",Инвентаризация!D436)</f>
        <v/>
      </c>
      <c r="D436" s="11" t="str">
        <f>IF(Инвентаризация!C436="","",Инвентаризация!E436)</f>
        <v/>
      </c>
      <c r="E436" s="12" t="str">
        <f>IF(Инвентаризация!C436="","",Инвентаризация!F436)</f>
        <v/>
      </c>
      <c r="F436" s="12" t="str">
        <f>IF(Инвентаризация!C436="","",Инвентаризация!G436)</f>
        <v/>
      </c>
      <c r="G436" s="12" t="str">
        <f t="shared" si="30"/>
        <v/>
      </c>
      <c r="H436" s="13" t="str">
        <f t="shared" si="31"/>
        <v/>
      </c>
      <c r="I436" s="12" t="str">
        <f t="shared" si="32"/>
        <v/>
      </c>
      <c r="J436" s="12" t="str">
        <f t="shared" si="33"/>
        <v/>
      </c>
      <c r="K436" s="12" t="str">
        <f t="shared" si="34"/>
        <v/>
      </c>
      <c r="L436" s="10" t="str">
        <f>IF(Инвентаризация!C436="","",Инвентаризация!M436)</f>
        <v/>
      </c>
      <c r="M436" s="10" t="str">
        <f>IF(Инвентаризация!C436="","",Инвентаризация!N436)</f>
        <v/>
      </c>
      <c r="N436" s="10" t="str">
        <f>IF(Инвентаризация!C436="","",Инвентаризация!O436)</f>
        <v/>
      </c>
      <c r="O436" s="10" t="str">
        <f>IF(Инвентаризация!C436="","",Инвентаризация!P436)</f>
        <v/>
      </c>
      <c r="P436" s="8" t="str">
        <f>IF(Инвентаризация!C436="","",Инвентаризация!Q436)</f>
        <v/>
      </c>
    </row>
    <row r="437" spans="1:16">
      <c r="A437" s="10" t="str">
        <f>IF(Инвентаризация!C437="","",Инвентаризация!B437)</f>
        <v/>
      </c>
      <c r="B437" s="10" t="str">
        <f>IF(Инвентаризация!C437="","",Инвентаризация!C437)</f>
        <v/>
      </c>
      <c r="C437" s="5" t="str">
        <f>IF(Инвентаризация!C437="","",Инвентаризация!D437)</f>
        <v/>
      </c>
      <c r="D437" s="11" t="str">
        <f>IF(Инвентаризация!C437="","",Инвентаризация!E437)</f>
        <v/>
      </c>
      <c r="E437" s="12" t="str">
        <f>IF(Инвентаризация!C437="","",Инвентаризация!F437)</f>
        <v/>
      </c>
      <c r="F437" s="12" t="str">
        <f>IF(Инвентаризация!C437="","",Инвентаризация!G437)</f>
        <v/>
      </c>
      <c r="G437" s="12" t="str">
        <f t="shared" si="30"/>
        <v/>
      </c>
      <c r="H437" s="13" t="str">
        <f t="shared" si="31"/>
        <v/>
      </c>
      <c r="I437" s="12" t="str">
        <f t="shared" si="32"/>
        <v/>
      </c>
      <c r="J437" s="12" t="str">
        <f t="shared" si="33"/>
        <v/>
      </c>
      <c r="K437" s="12" t="str">
        <f t="shared" si="34"/>
        <v/>
      </c>
      <c r="L437" s="10" t="str">
        <f>IF(Инвентаризация!C437="","",Инвентаризация!M437)</f>
        <v/>
      </c>
      <c r="M437" s="10" t="str">
        <f>IF(Инвентаризация!C437="","",Инвентаризация!N437)</f>
        <v/>
      </c>
      <c r="N437" s="10" t="str">
        <f>IF(Инвентаризация!C437="","",Инвентаризация!O437)</f>
        <v/>
      </c>
      <c r="O437" s="10" t="str">
        <f>IF(Инвентаризация!C437="","",Инвентаризация!P437)</f>
        <v/>
      </c>
      <c r="P437" s="8" t="str">
        <f>IF(Инвентаризация!C437="","",Инвентаризация!Q437)</f>
        <v/>
      </c>
    </row>
    <row r="438" spans="1:16">
      <c r="A438" s="10" t="str">
        <f>IF(Инвентаризация!C438="","",Инвентаризация!B438)</f>
        <v/>
      </c>
      <c r="B438" s="10" t="str">
        <f>IF(Инвентаризация!C438="","",Инвентаризация!C438)</f>
        <v/>
      </c>
      <c r="C438" s="5" t="str">
        <f>IF(Инвентаризация!C438="","",Инвентаризация!D438)</f>
        <v/>
      </c>
      <c r="D438" s="11" t="str">
        <f>IF(Инвентаризация!C438="","",Инвентаризация!E438)</f>
        <v/>
      </c>
      <c r="E438" s="12" t="str">
        <f>IF(Инвентаризация!C438="","",Инвентаризация!F438)</f>
        <v/>
      </c>
      <c r="F438" s="12" t="str">
        <f>IF(Инвентаризация!C438="","",Инвентаризация!G438)</f>
        <v/>
      </c>
      <c r="G438" s="12" t="str">
        <f t="shared" si="30"/>
        <v/>
      </c>
      <c r="H438" s="13" t="str">
        <f t="shared" si="31"/>
        <v/>
      </c>
      <c r="I438" s="12" t="str">
        <f t="shared" si="32"/>
        <v/>
      </c>
      <c r="J438" s="12" t="str">
        <f t="shared" si="33"/>
        <v/>
      </c>
      <c r="K438" s="12" t="str">
        <f t="shared" si="34"/>
        <v/>
      </c>
      <c r="L438" s="10" t="str">
        <f>IF(Инвентаризация!C438="","",Инвентаризация!M438)</f>
        <v/>
      </c>
      <c r="M438" s="10" t="str">
        <f>IF(Инвентаризация!C438="","",Инвентаризация!N438)</f>
        <v/>
      </c>
      <c r="N438" s="10" t="str">
        <f>IF(Инвентаризация!C438="","",Инвентаризация!O438)</f>
        <v/>
      </c>
      <c r="O438" s="10" t="str">
        <f>IF(Инвентаризация!C438="","",Инвентаризация!P438)</f>
        <v/>
      </c>
      <c r="P438" s="8" t="str">
        <f>IF(Инвентаризация!C438="","",Инвентаризация!Q438)</f>
        <v/>
      </c>
    </row>
    <row r="439" spans="1:16">
      <c r="A439" s="10" t="str">
        <f>IF(Инвентаризация!C439="","",Инвентаризация!B439)</f>
        <v/>
      </c>
      <c r="B439" s="10" t="str">
        <f>IF(Инвентаризация!C439="","",Инвентаризация!C439)</f>
        <v/>
      </c>
      <c r="C439" s="5" t="str">
        <f>IF(Инвентаризация!C439="","",Инвентаризация!D439)</f>
        <v/>
      </c>
      <c r="D439" s="11" t="str">
        <f>IF(Инвентаризация!C439="","",Инвентаризация!E439)</f>
        <v/>
      </c>
      <c r="E439" s="12" t="str">
        <f>IF(Инвентаризация!C439="","",Инвентаризация!F439)</f>
        <v/>
      </c>
      <c r="F439" s="12" t="str">
        <f>IF(Инвентаризация!C439="","",Инвентаризация!G439)</f>
        <v/>
      </c>
      <c r="G439" s="12" t="str">
        <f t="shared" si="30"/>
        <v/>
      </c>
      <c r="H439" s="13" t="str">
        <f t="shared" si="31"/>
        <v/>
      </c>
      <c r="I439" s="12" t="str">
        <f t="shared" si="32"/>
        <v/>
      </c>
      <c r="J439" s="12" t="str">
        <f t="shared" si="33"/>
        <v/>
      </c>
      <c r="K439" s="12" t="str">
        <f t="shared" si="34"/>
        <v/>
      </c>
      <c r="L439" s="10" t="str">
        <f>IF(Инвентаризация!C439="","",Инвентаризация!M439)</f>
        <v/>
      </c>
      <c r="M439" s="10" t="str">
        <f>IF(Инвентаризация!C439="","",Инвентаризация!N439)</f>
        <v/>
      </c>
      <c r="N439" s="10" t="str">
        <f>IF(Инвентаризация!C439="","",Инвентаризация!O439)</f>
        <v/>
      </c>
      <c r="O439" s="10" t="str">
        <f>IF(Инвентаризация!C439="","",Инвентаризация!P439)</f>
        <v/>
      </c>
      <c r="P439" s="8" t="str">
        <f>IF(Инвентаризация!C439="","",Инвентаризация!Q439)</f>
        <v/>
      </c>
    </row>
    <row r="440" spans="1:16">
      <c r="A440" s="10" t="str">
        <f>IF(Инвентаризация!C440="","",Инвентаризация!B440)</f>
        <v/>
      </c>
      <c r="B440" s="10" t="str">
        <f>IF(Инвентаризация!C440="","",Инвентаризация!C440)</f>
        <v/>
      </c>
      <c r="C440" s="5" t="str">
        <f>IF(Инвентаризация!C440="","",Инвентаризация!D440)</f>
        <v/>
      </c>
      <c r="D440" s="11" t="str">
        <f>IF(Инвентаризация!C440="","",Инвентаризация!E440)</f>
        <v/>
      </c>
      <c r="E440" s="12" t="str">
        <f>IF(Инвентаризация!C440="","",Инвентаризация!F440)</f>
        <v/>
      </c>
      <c r="F440" s="12" t="str">
        <f>IF(Инвентаризация!C440="","",Инвентаризация!G440)</f>
        <v/>
      </c>
      <c r="G440" s="12" t="str">
        <f t="shared" si="30"/>
        <v/>
      </c>
      <c r="H440" s="13" t="str">
        <f t="shared" si="31"/>
        <v/>
      </c>
      <c r="I440" s="12" t="str">
        <f t="shared" si="32"/>
        <v/>
      </c>
      <c r="J440" s="12" t="str">
        <f t="shared" si="33"/>
        <v/>
      </c>
      <c r="K440" s="12" t="str">
        <f t="shared" si="34"/>
        <v/>
      </c>
      <c r="L440" s="10" t="str">
        <f>IF(Инвентаризация!C440="","",Инвентаризация!M440)</f>
        <v/>
      </c>
      <c r="M440" s="10" t="str">
        <f>IF(Инвентаризация!C440="","",Инвентаризация!N440)</f>
        <v/>
      </c>
      <c r="N440" s="10" t="str">
        <f>IF(Инвентаризация!C440="","",Инвентаризация!O440)</f>
        <v/>
      </c>
      <c r="O440" s="10" t="str">
        <f>IF(Инвентаризация!C440="","",Инвентаризация!P440)</f>
        <v/>
      </c>
      <c r="P440" s="8" t="str">
        <f>IF(Инвентаризация!C440="","",Инвентаризация!Q440)</f>
        <v/>
      </c>
    </row>
    <row r="441" spans="1:16">
      <c r="A441" s="10" t="str">
        <f>IF(Инвентаризация!C441="","",Инвентаризация!B441)</f>
        <v/>
      </c>
      <c r="B441" s="10" t="str">
        <f>IF(Инвентаризация!C441="","",Инвентаризация!C441)</f>
        <v/>
      </c>
      <c r="C441" s="5" t="str">
        <f>IF(Инвентаризация!C441="","",Инвентаризация!D441)</f>
        <v/>
      </c>
      <c r="D441" s="11" t="str">
        <f>IF(Инвентаризация!C441="","",Инвентаризация!E441)</f>
        <v/>
      </c>
      <c r="E441" s="12" t="str">
        <f>IF(Инвентаризация!C441="","",Инвентаризация!F441)</f>
        <v/>
      </c>
      <c r="F441" s="12" t="str">
        <f>IF(Инвентаризация!C441="","",Инвентаризация!G441)</f>
        <v/>
      </c>
      <c r="G441" s="12" t="str">
        <f t="shared" si="30"/>
        <v/>
      </c>
      <c r="H441" s="13" t="str">
        <f t="shared" si="31"/>
        <v/>
      </c>
      <c r="I441" s="12" t="str">
        <f t="shared" si="32"/>
        <v/>
      </c>
      <c r="J441" s="12" t="str">
        <f t="shared" si="33"/>
        <v/>
      </c>
      <c r="K441" s="12" t="str">
        <f t="shared" si="34"/>
        <v/>
      </c>
      <c r="L441" s="10" t="str">
        <f>IF(Инвентаризация!C441="","",Инвентаризация!M441)</f>
        <v/>
      </c>
      <c r="M441" s="10" t="str">
        <f>IF(Инвентаризация!C441="","",Инвентаризация!N441)</f>
        <v/>
      </c>
      <c r="N441" s="10" t="str">
        <f>IF(Инвентаризация!C441="","",Инвентаризация!O441)</f>
        <v/>
      </c>
      <c r="O441" s="10" t="str">
        <f>IF(Инвентаризация!C441="","",Инвентаризация!P441)</f>
        <v/>
      </c>
      <c r="P441" s="8" t="str">
        <f>IF(Инвентаризация!C441="","",Инвентаризация!Q441)</f>
        <v/>
      </c>
    </row>
    <row r="442" spans="1:16">
      <c r="A442" s="10" t="str">
        <f>IF(Инвентаризация!C442="","",Инвентаризация!B442)</f>
        <v/>
      </c>
      <c r="B442" s="10" t="str">
        <f>IF(Инвентаризация!C442="","",Инвентаризация!C442)</f>
        <v/>
      </c>
      <c r="C442" s="5" t="str">
        <f>IF(Инвентаризация!C442="","",Инвентаризация!D442)</f>
        <v/>
      </c>
      <c r="D442" s="11" t="str">
        <f>IF(Инвентаризация!C442="","",Инвентаризация!E442)</f>
        <v/>
      </c>
      <c r="E442" s="12" t="str">
        <f>IF(Инвентаризация!C442="","",Инвентаризация!F442)</f>
        <v/>
      </c>
      <c r="F442" s="12" t="str">
        <f>IF(Инвентаризация!C442="","",Инвентаризация!G442)</f>
        <v/>
      </c>
      <c r="G442" s="12" t="str">
        <f t="shared" si="30"/>
        <v/>
      </c>
      <c r="H442" s="13" t="str">
        <f t="shared" si="31"/>
        <v/>
      </c>
      <c r="I442" s="12" t="str">
        <f t="shared" si="32"/>
        <v/>
      </c>
      <c r="J442" s="12" t="str">
        <f t="shared" si="33"/>
        <v/>
      </c>
      <c r="K442" s="12" t="str">
        <f t="shared" si="34"/>
        <v/>
      </c>
      <c r="L442" s="10" t="str">
        <f>IF(Инвентаризация!C442="","",Инвентаризация!M442)</f>
        <v/>
      </c>
      <c r="M442" s="10" t="str">
        <f>IF(Инвентаризация!C442="","",Инвентаризация!N442)</f>
        <v/>
      </c>
      <c r="N442" s="10" t="str">
        <f>IF(Инвентаризация!C442="","",Инвентаризация!O442)</f>
        <v/>
      </c>
      <c r="O442" s="10" t="str">
        <f>IF(Инвентаризация!C442="","",Инвентаризация!P442)</f>
        <v/>
      </c>
      <c r="P442" s="8" t="str">
        <f>IF(Инвентаризация!C442="","",Инвентаризация!Q442)</f>
        <v/>
      </c>
    </row>
    <row r="443" spans="1:16">
      <c r="A443" s="10" t="str">
        <f>IF(Инвентаризация!C443="","",Инвентаризация!B443)</f>
        <v/>
      </c>
      <c r="B443" s="10" t="str">
        <f>IF(Инвентаризация!C443="","",Инвентаризация!C443)</f>
        <v/>
      </c>
      <c r="C443" s="5" t="str">
        <f>IF(Инвентаризация!C443="","",Инвентаризация!D443)</f>
        <v/>
      </c>
      <c r="D443" s="11" t="str">
        <f>IF(Инвентаризация!C443="","",Инвентаризация!E443)</f>
        <v/>
      </c>
      <c r="E443" s="12" t="str">
        <f>IF(Инвентаризация!C443="","",Инвентаризация!F443)</f>
        <v/>
      </c>
      <c r="F443" s="12" t="str">
        <f>IF(Инвентаризация!C443="","",Инвентаризация!G443)</f>
        <v/>
      </c>
      <c r="G443" s="12" t="str">
        <f t="shared" si="30"/>
        <v/>
      </c>
      <c r="H443" s="13" t="str">
        <f t="shared" si="31"/>
        <v/>
      </c>
      <c r="I443" s="12" t="str">
        <f t="shared" si="32"/>
        <v/>
      </c>
      <c r="J443" s="12" t="str">
        <f t="shared" si="33"/>
        <v/>
      </c>
      <c r="K443" s="12" t="str">
        <f t="shared" si="34"/>
        <v/>
      </c>
      <c r="L443" s="10" t="str">
        <f>IF(Инвентаризация!C443="","",Инвентаризация!M443)</f>
        <v/>
      </c>
      <c r="M443" s="10" t="str">
        <f>IF(Инвентаризация!C443="","",Инвентаризация!N443)</f>
        <v/>
      </c>
      <c r="N443" s="10" t="str">
        <f>IF(Инвентаризация!C443="","",Инвентаризация!O443)</f>
        <v/>
      </c>
      <c r="O443" s="10" t="str">
        <f>IF(Инвентаризация!C443="","",Инвентаризация!P443)</f>
        <v/>
      </c>
      <c r="P443" s="8" t="str">
        <f>IF(Инвентаризация!C443="","",Инвентаризация!Q443)</f>
        <v/>
      </c>
    </row>
    <row r="444" spans="1:16">
      <c r="A444" s="10" t="str">
        <f>IF(Инвентаризация!C444="","",Инвентаризация!B444)</f>
        <v/>
      </c>
      <c r="B444" s="10" t="str">
        <f>IF(Инвентаризация!C444="","",Инвентаризация!C444)</f>
        <v/>
      </c>
      <c r="C444" s="5" t="str">
        <f>IF(Инвентаризация!C444="","",Инвентаризация!D444)</f>
        <v/>
      </c>
      <c r="D444" s="11" t="str">
        <f>IF(Инвентаризация!C444="","",Инвентаризация!E444)</f>
        <v/>
      </c>
      <c r="E444" s="12" t="str">
        <f>IF(Инвентаризация!C444="","",Инвентаризация!F444)</f>
        <v/>
      </c>
      <c r="F444" s="12" t="str">
        <f>IF(Инвентаризация!C444="","",Инвентаризация!G444)</f>
        <v/>
      </c>
      <c r="G444" s="12" t="str">
        <f t="shared" si="30"/>
        <v/>
      </c>
      <c r="H444" s="13" t="str">
        <f t="shared" si="31"/>
        <v/>
      </c>
      <c r="I444" s="12" t="str">
        <f t="shared" si="32"/>
        <v/>
      </c>
      <c r="J444" s="12" t="str">
        <f t="shared" si="33"/>
        <v/>
      </c>
      <c r="K444" s="12" t="str">
        <f t="shared" si="34"/>
        <v/>
      </c>
      <c r="L444" s="10" t="str">
        <f>IF(Инвентаризация!C444="","",Инвентаризация!M444)</f>
        <v/>
      </c>
      <c r="M444" s="10" t="str">
        <f>IF(Инвентаризация!C444="","",Инвентаризация!N444)</f>
        <v/>
      </c>
      <c r="N444" s="10" t="str">
        <f>IF(Инвентаризация!C444="","",Инвентаризация!O444)</f>
        <v/>
      </c>
      <c r="O444" s="10" t="str">
        <f>IF(Инвентаризация!C444="","",Инвентаризация!P444)</f>
        <v/>
      </c>
      <c r="P444" s="8" t="str">
        <f>IF(Инвентаризация!C444="","",Инвентаризация!Q444)</f>
        <v/>
      </c>
    </row>
    <row r="445" spans="1:16">
      <c r="A445" s="10" t="str">
        <f>IF(Инвентаризация!C445="","",Инвентаризация!B445)</f>
        <v/>
      </c>
      <c r="B445" s="10" t="str">
        <f>IF(Инвентаризация!C445="","",Инвентаризация!C445)</f>
        <v/>
      </c>
      <c r="C445" s="5" t="str">
        <f>IF(Инвентаризация!C445="","",Инвентаризация!D445)</f>
        <v/>
      </c>
      <c r="D445" s="11" t="str">
        <f>IF(Инвентаризация!C445="","",Инвентаризация!E445)</f>
        <v/>
      </c>
      <c r="E445" s="12" t="str">
        <f>IF(Инвентаризация!C445="","",Инвентаризация!F445)</f>
        <v/>
      </c>
      <c r="F445" s="12" t="str">
        <f>IF(Инвентаризация!C445="","",Инвентаризация!G445)</f>
        <v/>
      </c>
      <c r="G445" s="12" t="str">
        <f t="shared" si="30"/>
        <v/>
      </c>
      <c r="H445" s="13" t="str">
        <f t="shared" si="31"/>
        <v/>
      </c>
      <c r="I445" s="12" t="str">
        <f t="shared" si="32"/>
        <v/>
      </c>
      <c r="J445" s="12" t="str">
        <f t="shared" si="33"/>
        <v/>
      </c>
      <c r="K445" s="12" t="str">
        <f t="shared" si="34"/>
        <v/>
      </c>
      <c r="L445" s="10" t="str">
        <f>IF(Инвентаризация!C445="","",Инвентаризация!M445)</f>
        <v/>
      </c>
      <c r="M445" s="10" t="str">
        <f>IF(Инвентаризация!C445="","",Инвентаризация!N445)</f>
        <v/>
      </c>
      <c r="N445" s="10" t="str">
        <f>IF(Инвентаризация!C445="","",Инвентаризация!O445)</f>
        <v/>
      </c>
      <c r="O445" s="10" t="str">
        <f>IF(Инвентаризация!C445="","",Инвентаризация!P445)</f>
        <v/>
      </c>
      <c r="P445" s="8" t="str">
        <f>IF(Инвентаризация!C445="","",Инвентаризация!Q445)</f>
        <v/>
      </c>
    </row>
    <row r="446" spans="1:16">
      <c r="A446" s="10" t="str">
        <f>IF(Инвентаризация!C446="","",Инвентаризация!B446)</f>
        <v/>
      </c>
      <c r="B446" s="10" t="str">
        <f>IF(Инвентаризация!C446="","",Инвентаризация!C446)</f>
        <v/>
      </c>
      <c r="C446" s="5" t="str">
        <f>IF(Инвентаризация!C446="","",Инвентаризация!D446)</f>
        <v/>
      </c>
      <c r="D446" s="11" t="str">
        <f>IF(Инвентаризация!C446="","",Инвентаризация!E446)</f>
        <v/>
      </c>
      <c r="E446" s="12" t="str">
        <f>IF(Инвентаризация!C446="","",Инвентаризация!F446)</f>
        <v/>
      </c>
      <c r="F446" s="12" t="str">
        <f>IF(Инвентаризация!C446="","",Инвентаризация!G446)</f>
        <v/>
      </c>
      <c r="G446" s="12" t="str">
        <f t="shared" si="30"/>
        <v/>
      </c>
      <c r="H446" s="13" t="str">
        <f t="shared" si="31"/>
        <v/>
      </c>
      <c r="I446" s="12" t="str">
        <f t="shared" si="32"/>
        <v/>
      </c>
      <c r="J446" s="12" t="str">
        <f t="shared" si="33"/>
        <v/>
      </c>
      <c r="K446" s="12" t="str">
        <f t="shared" si="34"/>
        <v/>
      </c>
      <c r="L446" s="10" t="str">
        <f>IF(Инвентаризация!C446="","",Инвентаризация!M446)</f>
        <v/>
      </c>
      <c r="M446" s="10" t="str">
        <f>IF(Инвентаризация!C446="","",Инвентаризация!N446)</f>
        <v/>
      </c>
      <c r="N446" s="10" t="str">
        <f>IF(Инвентаризация!C446="","",Инвентаризация!O446)</f>
        <v/>
      </c>
      <c r="O446" s="10" t="str">
        <f>IF(Инвентаризация!C446="","",Инвентаризация!P446)</f>
        <v/>
      </c>
      <c r="P446" s="8" t="str">
        <f>IF(Инвентаризация!C446="","",Инвентаризация!Q446)</f>
        <v/>
      </c>
    </row>
    <row r="447" spans="1:16">
      <c r="A447" s="10" t="str">
        <f>IF(Инвентаризация!C447="","",Инвентаризация!B447)</f>
        <v/>
      </c>
      <c r="B447" s="10" t="str">
        <f>IF(Инвентаризация!C447="","",Инвентаризация!C447)</f>
        <v/>
      </c>
      <c r="C447" s="5" t="str">
        <f>IF(Инвентаризация!C447="","",Инвентаризация!D447)</f>
        <v/>
      </c>
      <c r="D447" s="11" t="str">
        <f>IF(Инвентаризация!C447="","",Инвентаризация!E447)</f>
        <v/>
      </c>
      <c r="E447" s="12" t="str">
        <f>IF(Инвентаризация!C447="","",Инвентаризация!F447)</f>
        <v/>
      </c>
      <c r="F447" s="12" t="str">
        <f>IF(Инвентаризация!C447="","",Инвентаризация!G447)</f>
        <v/>
      </c>
      <c r="G447" s="12" t="str">
        <f t="shared" si="30"/>
        <v/>
      </c>
      <c r="H447" s="13" t="str">
        <f t="shared" si="31"/>
        <v/>
      </c>
      <c r="I447" s="12" t="str">
        <f t="shared" si="32"/>
        <v/>
      </c>
      <c r="J447" s="12" t="str">
        <f t="shared" si="33"/>
        <v/>
      </c>
      <c r="K447" s="12" t="str">
        <f t="shared" si="34"/>
        <v/>
      </c>
      <c r="L447" s="10" t="str">
        <f>IF(Инвентаризация!C447="","",Инвентаризация!M447)</f>
        <v/>
      </c>
      <c r="M447" s="10" t="str">
        <f>IF(Инвентаризация!C447="","",Инвентаризация!N447)</f>
        <v/>
      </c>
      <c r="N447" s="10" t="str">
        <f>IF(Инвентаризация!C447="","",Инвентаризация!O447)</f>
        <v/>
      </c>
      <c r="O447" s="10" t="str">
        <f>IF(Инвентаризация!C447="","",Инвентаризация!P447)</f>
        <v/>
      </c>
      <c r="P447" s="8" t="str">
        <f>IF(Инвентаризация!C447="","",Инвентаризация!Q447)</f>
        <v/>
      </c>
    </row>
    <row r="448" spans="1:16">
      <c r="A448" s="10" t="str">
        <f>IF(Инвентаризация!C448="","",Инвентаризация!B448)</f>
        <v/>
      </c>
      <c r="B448" s="10" t="str">
        <f>IF(Инвентаризация!C448="","",Инвентаризация!C448)</f>
        <v/>
      </c>
      <c r="C448" s="5" t="str">
        <f>IF(Инвентаризация!C448="","",Инвентаризация!D448)</f>
        <v/>
      </c>
      <c r="D448" s="11" t="str">
        <f>IF(Инвентаризация!C448="","",Инвентаризация!E448)</f>
        <v/>
      </c>
      <c r="E448" s="12" t="str">
        <f>IF(Инвентаризация!C448="","",Инвентаризация!F448)</f>
        <v/>
      </c>
      <c r="F448" s="12" t="str">
        <f>IF(Инвентаризация!C448="","",Инвентаризация!G448)</f>
        <v/>
      </c>
      <c r="G448" s="12" t="str">
        <f t="shared" si="30"/>
        <v/>
      </c>
      <c r="H448" s="13" t="str">
        <f t="shared" si="31"/>
        <v/>
      </c>
      <c r="I448" s="12" t="str">
        <f t="shared" si="32"/>
        <v/>
      </c>
      <c r="J448" s="12" t="str">
        <f t="shared" si="33"/>
        <v/>
      </c>
      <c r="K448" s="12" t="str">
        <f t="shared" si="34"/>
        <v/>
      </c>
      <c r="L448" s="10" t="str">
        <f>IF(Инвентаризация!C448="","",Инвентаризация!M448)</f>
        <v/>
      </c>
      <c r="M448" s="10" t="str">
        <f>IF(Инвентаризация!C448="","",Инвентаризация!N448)</f>
        <v/>
      </c>
      <c r="N448" s="10" t="str">
        <f>IF(Инвентаризация!C448="","",Инвентаризация!O448)</f>
        <v/>
      </c>
      <c r="O448" s="10" t="str">
        <f>IF(Инвентаризация!C448="","",Инвентаризация!P448)</f>
        <v/>
      </c>
      <c r="P448" s="8" t="str">
        <f>IF(Инвентаризация!C448="","",Инвентаризация!Q448)</f>
        <v/>
      </c>
    </row>
    <row r="449" spans="1:16">
      <c r="A449" s="10" t="str">
        <f>IF(Инвентаризация!C449="","",Инвентаризация!B449)</f>
        <v/>
      </c>
      <c r="B449" s="10" t="str">
        <f>IF(Инвентаризация!C449="","",Инвентаризация!C449)</f>
        <v/>
      </c>
      <c r="C449" s="5" t="str">
        <f>IF(Инвентаризация!C449="","",Инвентаризация!D449)</f>
        <v/>
      </c>
      <c r="D449" s="11" t="str">
        <f>IF(Инвентаризация!C449="","",Инвентаризация!E449)</f>
        <v/>
      </c>
      <c r="E449" s="12" t="str">
        <f>IF(Инвентаризация!C449="","",Инвентаризация!F449)</f>
        <v/>
      </c>
      <c r="F449" s="12" t="str">
        <f>IF(Инвентаризация!C449="","",Инвентаризация!G449)</f>
        <v/>
      </c>
      <c r="G449" s="12" t="str">
        <f t="shared" si="30"/>
        <v/>
      </c>
      <c r="H449" s="13" t="str">
        <f t="shared" si="31"/>
        <v/>
      </c>
      <c r="I449" s="12" t="str">
        <f t="shared" si="32"/>
        <v/>
      </c>
      <c r="J449" s="12" t="str">
        <f t="shared" si="33"/>
        <v/>
      </c>
      <c r="K449" s="12" t="str">
        <f t="shared" si="34"/>
        <v/>
      </c>
      <c r="L449" s="10" t="str">
        <f>IF(Инвентаризация!C449="","",Инвентаризация!M449)</f>
        <v/>
      </c>
      <c r="M449" s="10" t="str">
        <f>IF(Инвентаризация!C449="","",Инвентаризация!N449)</f>
        <v/>
      </c>
      <c r="N449" s="10" t="str">
        <f>IF(Инвентаризация!C449="","",Инвентаризация!O449)</f>
        <v/>
      </c>
      <c r="O449" s="10" t="str">
        <f>IF(Инвентаризация!C449="","",Инвентаризация!P449)</f>
        <v/>
      </c>
      <c r="P449" s="8" t="str">
        <f>IF(Инвентаризация!C449="","",Инвентаризация!Q449)</f>
        <v/>
      </c>
    </row>
    <row r="450" spans="1:16">
      <c r="A450" s="10" t="str">
        <f>IF(Инвентаризация!C450="","",Инвентаризация!B450)</f>
        <v/>
      </c>
      <c r="B450" s="10" t="str">
        <f>IF(Инвентаризация!C450="","",Инвентаризация!C450)</f>
        <v/>
      </c>
      <c r="C450" s="5" t="str">
        <f>IF(Инвентаризация!C450="","",Инвентаризация!D450)</f>
        <v/>
      </c>
      <c r="D450" s="11" t="str">
        <f>IF(Инвентаризация!C450="","",Инвентаризация!E450)</f>
        <v/>
      </c>
      <c r="E450" s="12" t="str">
        <f>IF(Инвентаризация!C450="","",Инвентаризация!F450)</f>
        <v/>
      </c>
      <c r="F450" s="12" t="str">
        <f>IF(Инвентаризация!C450="","",Инвентаризация!G450)</f>
        <v/>
      </c>
      <c r="G450" s="12" t="str">
        <f t="shared" ref="G450:G500" si="35">IF(OR(E450="",F450=""),"",F450-E450)</f>
        <v/>
      </c>
      <c r="H450" s="13" t="str">
        <f t="shared" ref="H450:H500" si="36">IFERROR(G450/F450,"")</f>
        <v/>
      </c>
      <c r="I450" s="12" t="str">
        <f t="shared" ref="I450:I500" si="37">IF(OR(D450="",E450=""),"",D450*E450)</f>
        <v/>
      </c>
      <c r="J450" s="12" t="str">
        <f t="shared" ref="J450:J500" si="38">IF(OR(D450="",F450=""),"",D450*F450)</f>
        <v/>
      </c>
      <c r="K450" s="12" t="str">
        <f t="shared" ref="K450:K500" si="39">IF(OR(D450="",G450=""),"",D450*G450)</f>
        <v/>
      </c>
      <c r="L450" s="10" t="str">
        <f>IF(Инвентаризация!C450="","",Инвентаризация!M450)</f>
        <v/>
      </c>
      <c r="M450" s="10" t="str">
        <f>IF(Инвентаризация!C450="","",Инвентаризация!N450)</f>
        <v/>
      </c>
      <c r="N450" s="10" t="str">
        <f>IF(Инвентаризация!C450="","",Инвентаризация!O450)</f>
        <v/>
      </c>
      <c r="O450" s="10" t="str">
        <f>IF(Инвентаризация!C450="","",Инвентаризация!P450)</f>
        <v/>
      </c>
      <c r="P450" s="8" t="str">
        <f>IF(Инвентаризация!C450="","",Инвентаризация!Q450)</f>
        <v/>
      </c>
    </row>
    <row r="451" spans="1:16">
      <c r="A451" s="10" t="str">
        <f>IF(Инвентаризация!C451="","",Инвентаризация!B451)</f>
        <v/>
      </c>
      <c r="B451" s="10" t="str">
        <f>IF(Инвентаризация!C451="","",Инвентаризация!C451)</f>
        <v/>
      </c>
      <c r="C451" s="5" t="str">
        <f>IF(Инвентаризация!C451="","",Инвентаризация!D451)</f>
        <v/>
      </c>
      <c r="D451" s="11" t="str">
        <f>IF(Инвентаризация!C451="","",Инвентаризация!E451)</f>
        <v/>
      </c>
      <c r="E451" s="12" t="str">
        <f>IF(Инвентаризация!C451="","",Инвентаризация!F451)</f>
        <v/>
      </c>
      <c r="F451" s="12" t="str">
        <f>IF(Инвентаризация!C451="","",Инвентаризация!G451)</f>
        <v/>
      </c>
      <c r="G451" s="12" t="str">
        <f t="shared" si="35"/>
        <v/>
      </c>
      <c r="H451" s="13" t="str">
        <f t="shared" si="36"/>
        <v/>
      </c>
      <c r="I451" s="12" t="str">
        <f t="shared" si="37"/>
        <v/>
      </c>
      <c r="J451" s="12" t="str">
        <f t="shared" si="38"/>
        <v/>
      </c>
      <c r="K451" s="12" t="str">
        <f t="shared" si="39"/>
        <v/>
      </c>
      <c r="L451" s="10" t="str">
        <f>IF(Инвентаризация!C451="","",Инвентаризация!M451)</f>
        <v/>
      </c>
      <c r="M451" s="10" t="str">
        <f>IF(Инвентаризация!C451="","",Инвентаризация!N451)</f>
        <v/>
      </c>
      <c r="N451" s="10" t="str">
        <f>IF(Инвентаризация!C451="","",Инвентаризация!O451)</f>
        <v/>
      </c>
      <c r="O451" s="10" t="str">
        <f>IF(Инвентаризация!C451="","",Инвентаризация!P451)</f>
        <v/>
      </c>
      <c r="P451" s="8" t="str">
        <f>IF(Инвентаризация!C451="","",Инвентаризация!Q451)</f>
        <v/>
      </c>
    </row>
    <row r="452" spans="1:16">
      <c r="A452" s="10" t="str">
        <f>IF(Инвентаризация!C452="","",Инвентаризация!B452)</f>
        <v/>
      </c>
      <c r="B452" s="10" t="str">
        <f>IF(Инвентаризация!C452="","",Инвентаризация!C452)</f>
        <v/>
      </c>
      <c r="C452" s="5" t="str">
        <f>IF(Инвентаризация!C452="","",Инвентаризация!D452)</f>
        <v/>
      </c>
      <c r="D452" s="11" t="str">
        <f>IF(Инвентаризация!C452="","",Инвентаризация!E452)</f>
        <v/>
      </c>
      <c r="E452" s="12" t="str">
        <f>IF(Инвентаризация!C452="","",Инвентаризация!F452)</f>
        <v/>
      </c>
      <c r="F452" s="12" t="str">
        <f>IF(Инвентаризация!C452="","",Инвентаризация!G452)</f>
        <v/>
      </c>
      <c r="G452" s="12" t="str">
        <f t="shared" si="35"/>
        <v/>
      </c>
      <c r="H452" s="13" t="str">
        <f t="shared" si="36"/>
        <v/>
      </c>
      <c r="I452" s="12" t="str">
        <f t="shared" si="37"/>
        <v/>
      </c>
      <c r="J452" s="12" t="str">
        <f t="shared" si="38"/>
        <v/>
      </c>
      <c r="K452" s="12" t="str">
        <f t="shared" si="39"/>
        <v/>
      </c>
      <c r="L452" s="10" t="str">
        <f>IF(Инвентаризация!C452="","",Инвентаризация!M452)</f>
        <v/>
      </c>
      <c r="M452" s="10" t="str">
        <f>IF(Инвентаризация!C452="","",Инвентаризация!N452)</f>
        <v/>
      </c>
      <c r="N452" s="10" t="str">
        <f>IF(Инвентаризация!C452="","",Инвентаризация!O452)</f>
        <v/>
      </c>
      <c r="O452" s="10" t="str">
        <f>IF(Инвентаризация!C452="","",Инвентаризация!P452)</f>
        <v/>
      </c>
      <c r="P452" s="8" t="str">
        <f>IF(Инвентаризация!C452="","",Инвентаризация!Q452)</f>
        <v/>
      </c>
    </row>
    <row r="453" spans="1:16">
      <c r="A453" s="10" t="str">
        <f>IF(Инвентаризация!C453="","",Инвентаризация!B453)</f>
        <v/>
      </c>
      <c r="B453" s="10" t="str">
        <f>IF(Инвентаризация!C453="","",Инвентаризация!C453)</f>
        <v/>
      </c>
      <c r="C453" s="5" t="str">
        <f>IF(Инвентаризация!C453="","",Инвентаризация!D453)</f>
        <v/>
      </c>
      <c r="D453" s="11" t="str">
        <f>IF(Инвентаризация!C453="","",Инвентаризация!E453)</f>
        <v/>
      </c>
      <c r="E453" s="12" t="str">
        <f>IF(Инвентаризация!C453="","",Инвентаризация!F453)</f>
        <v/>
      </c>
      <c r="F453" s="12" t="str">
        <f>IF(Инвентаризация!C453="","",Инвентаризация!G453)</f>
        <v/>
      </c>
      <c r="G453" s="12" t="str">
        <f t="shared" si="35"/>
        <v/>
      </c>
      <c r="H453" s="13" t="str">
        <f t="shared" si="36"/>
        <v/>
      </c>
      <c r="I453" s="12" t="str">
        <f t="shared" si="37"/>
        <v/>
      </c>
      <c r="J453" s="12" t="str">
        <f t="shared" si="38"/>
        <v/>
      </c>
      <c r="K453" s="12" t="str">
        <f t="shared" si="39"/>
        <v/>
      </c>
      <c r="L453" s="10" t="str">
        <f>IF(Инвентаризация!C453="","",Инвентаризация!M453)</f>
        <v/>
      </c>
      <c r="M453" s="10" t="str">
        <f>IF(Инвентаризация!C453="","",Инвентаризация!N453)</f>
        <v/>
      </c>
      <c r="N453" s="10" t="str">
        <f>IF(Инвентаризация!C453="","",Инвентаризация!O453)</f>
        <v/>
      </c>
      <c r="O453" s="10" t="str">
        <f>IF(Инвентаризация!C453="","",Инвентаризация!P453)</f>
        <v/>
      </c>
      <c r="P453" s="8" t="str">
        <f>IF(Инвентаризация!C453="","",Инвентаризация!Q453)</f>
        <v/>
      </c>
    </row>
    <row r="454" spans="1:16">
      <c r="A454" s="10" t="str">
        <f>IF(Инвентаризация!C454="","",Инвентаризация!B454)</f>
        <v/>
      </c>
      <c r="B454" s="10" t="str">
        <f>IF(Инвентаризация!C454="","",Инвентаризация!C454)</f>
        <v/>
      </c>
      <c r="C454" s="5" t="str">
        <f>IF(Инвентаризация!C454="","",Инвентаризация!D454)</f>
        <v/>
      </c>
      <c r="D454" s="11" t="str">
        <f>IF(Инвентаризация!C454="","",Инвентаризация!E454)</f>
        <v/>
      </c>
      <c r="E454" s="12" t="str">
        <f>IF(Инвентаризация!C454="","",Инвентаризация!F454)</f>
        <v/>
      </c>
      <c r="F454" s="12" t="str">
        <f>IF(Инвентаризация!C454="","",Инвентаризация!G454)</f>
        <v/>
      </c>
      <c r="G454" s="12" t="str">
        <f t="shared" si="35"/>
        <v/>
      </c>
      <c r="H454" s="13" t="str">
        <f t="shared" si="36"/>
        <v/>
      </c>
      <c r="I454" s="12" t="str">
        <f t="shared" si="37"/>
        <v/>
      </c>
      <c r="J454" s="12" t="str">
        <f t="shared" si="38"/>
        <v/>
      </c>
      <c r="K454" s="12" t="str">
        <f t="shared" si="39"/>
        <v/>
      </c>
      <c r="L454" s="10" t="str">
        <f>IF(Инвентаризация!C454="","",Инвентаризация!M454)</f>
        <v/>
      </c>
      <c r="M454" s="10" t="str">
        <f>IF(Инвентаризация!C454="","",Инвентаризация!N454)</f>
        <v/>
      </c>
      <c r="N454" s="10" t="str">
        <f>IF(Инвентаризация!C454="","",Инвентаризация!O454)</f>
        <v/>
      </c>
      <c r="O454" s="10" t="str">
        <f>IF(Инвентаризация!C454="","",Инвентаризация!P454)</f>
        <v/>
      </c>
      <c r="P454" s="8" t="str">
        <f>IF(Инвентаризация!C454="","",Инвентаризация!Q454)</f>
        <v/>
      </c>
    </row>
    <row r="455" spans="1:16">
      <c r="A455" s="10" t="str">
        <f>IF(Инвентаризация!C455="","",Инвентаризация!B455)</f>
        <v/>
      </c>
      <c r="B455" s="10" t="str">
        <f>IF(Инвентаризация!C455="","",Инвентаризация!C455)</f>
        <v/>
      </c>
      <c r="C455" s="5" t="str">
        <f>IF(Инвентаризация!C455="","",Инвентаризация!D455)</f>
        <v/>
      </c>
      <c r="D455" s="11" t="str">
        <f>IF(Инвентаризация!C455="","",Инвентаризация!E455)</f>
        <v/>
      </c>
      <c r="E455" s="12" t="str">
        <f>IF(Инвентаризация!C455="","",Инвентаризация!F455)</f>
        <v/>
      </c>
      <c r="F455" s="12" t="str">
        <f>IF(Инвентаризация!C455="","",Инвентаризация!G455)</f>
        <v/>
      </c>
      <c r="G455" s="12" t="str">
        <f t="shared" si="35"/>
        <v/>
      </c>
      <c r="H455" s="13" t="str">
        <f t="shared" si="36"/>
        <v/>
      </c>
      <c r="I455" s="12" t="str">
        <f t="shared" si="37"/>
        <v/>
      </c>
      <c r="J455" s="12" t="str">
        <f t="shared" si="38"/>
        <v/>
      </c>
      <c r="K455" s="12" t="str">
        <f t="shared" si="39"/>
        <v/>
      </c>
      <c r="L455" s="10" t="str">
        <f>IF(Инвентаризация!C455="","",Инвентаризация!M455)</f>
        <v/>
      </c>
      <c r="M455" s="10" t="str">
        <f>IF(Инвентаризация!C455="","",Инвентаризация!N455)</f>
        <v/>
      </c>
      <c r="N455" s="10" t="str">
        <f>IF(Инвентаризация!C455="","",Инвентаризация!O455)</f>
        <v/>
      </c>
      <c r="O455" s="10" t="str">
        <f>IF(Инвентаризация!C455="","",Инвентаризация!P455)</f>
        <v/>
      </c>
      <c r="P455" s="8" t="str">
        <f>IF(Инвентаризация!C455="","",Инвентаризация!Q455)</f>
        <v/>
      </c>
    </row>
    <row r="456" spans="1:16">
      <c r="A456" s="10" t="str">
        <f>IF(Инвентаризация!C456="","",Инвентаризация!B456)</f>
        <v/>
      </c>
      <c r="B456" s="10" t="str">
        <f>IF(Инвентаризация!C456="","",Инвентаризация!C456)</f>
        <v/>
      </c>
      <c r="C456" s="5" t="str">
        <f>IF(Инвентаризация!C456="","",Инвентаризация!D456)</f>
        <v/>
      </c>
      <c r="D456" s="11" t="str">
        <f>IF(Инвентаризация!C456="","",Инвентаризация!E456)</f>
        <v/>
      </c>
      <c r="E456" s="12" t="str">
        <f>IF(Инвентаризация!C456="","",Инвентаризация!F456)</f>
        <v/>
      </c>
      <c r="F456" s="12" t="str">
        <f>IF(Инвентаризация!C456="","",Инвентаризация!G456)</f>
        <v/>
      </c>
      <c r="G456" s="12" t="str">
        <f t="shared" si="35"/>
        <v/>
      </c>
      <c r="H456" s="13" t="str">
        <f t="shared" si="36"/>
        <v/>
      </c>
      <c r="I456" s="12" t="str">
        <f t="shared" si="37"/>
        <v/>
      </c>
      <c r="J456" s="12" t="str">
        <f t="shared" si="38"/>
        <v/>
      </c>
      <c r="K456" s="12" t="str">
        <f t="shared" si="39"/>
        <v/>
      </c>
      <c r="L456" s="10" t="str">
        <f>IF(Инвентаризация!C456="","",Инвентаризация!M456)</f>
        <v/>
      </c>
      <c r="M456" s="10" t="str">
        <f>IF(Инвентаризация!C456="","",Инвентаризация!N456)</f>
        <v/>
      </c>
      <c r="N456" s="10" t="str">
        <f>IF(Инвентаризация!C456="","",Инвентаризация!O456)</f>
        <v/>
      </c>
      <c r="O456" s="10" t="str">
        <f>IF(Инвентаризация!C456="","",Инвентаризация!P456)</f>
        <v/>
      </c>
      <c r="P456" s="8" t="str">
        <f>IF(Инвентаризация!C456="","",Инвентаризация!Q456)</f>
        <v/>
      </c>
    </row>
    <row r="457" spans="1:16">
      <c r="A457" s="10" t="str">
        <f>IF(Инвентаризация!C457="","",Инвентаризация!B457)</f>
        <v/>
      </c>
      <c r="B457" s="10" t="str">
        <f>IF(Инвентаризация!C457="","",Инвентаризация!C457)</f>
        <v/>
      </c>
      <c r="C457" s="5" t="str">
        <f>IF(Инвентаризация!C457="","",Инвентаризация!D457)</f>
        <v/>
      </c>
      <c r="D457" s="11" t="str">
        <f>IF(Инвентаризация!C457="","",Инвентаризация!E457)</f>
        <v/>
      </c>
      <c r="E457" s="12" t="str">
        <f>IF(Инвентаризация!C457="","",Инвентаризация!F457)</f>
        <v/>
      </c>
      <c r="F457" s="12" t="str">
        <f>IF(Инвентаризация!C457="","",Инвентаризация!G457)</f>
        <v/>
      </c>
      <c r="G457" s="12" t="str">
        <f t="shared" si="35"/>
        <v/>
      </c>
      <c r="H457" s="13" t="str">
        <f t="shared" si="36"/>
        <v/>
      </c>
      <c r="I457" s="12" t="str">
        <f t="shared" si="37"/>
        <v/>
      </c>
      <c r="J457" s="12" t="str">
        <f t="shared" si="38"/>
        <v/>
      </c>
      <c r="K457" s="12" t="str">
        <f t="shared" si="39"/>
        <v/>
      </c>
      <c r="L457" s="10" t="str">
        <f>IF(Инвентаризация!C457="","",Инвентаризация!M457)</f>
        <v/>
      </c>
      <c r="M457" s="10" t="str">
        <f>IF(Инвентаризация!C457="","",Инвентаризация!N457)</f>
        <v/>
      </c>
      <c r="N457" s="10" t="str">
        <f>IF(Инвентаризация!C457="","",Инвентаризация!O457)</f>
        <v/>
      </c>
      <c r="O457" s="10" t="str">
        <f>IF(Инвентаризация!C457="","",Инвентаризация!P457)</f>
        <v/>
      </c>
      <c r="P457" s="8" t="str">
        <f>IF(Инвентаризация!C457="","",Инвентаризация!Q457)</f>
        <v/>
      </c>
    </row>
    <row r="458" spans="1:16">
      <c r="A458" s="10" t="str">
        <f>IF(Инвентаризация!C458="","",Инвентаризация!B458)</f>
        <v/>
      </c>
      <c r="B458" s="10" t="str">
        <f>IF(Инвентаризация!C458="","",Инвентаризация!C458)</f>
        <v/>
      </c>
      <c r="C458" s="5" t="str">
        <f>IF(Инвентаризация!C458="","",Инвентаризация!D458)</f>
        <v/>
      </c>
      <c r="D458" s="11" t="str">
        <f>IF(Инвентаризация!C458="","",Инвентаризация!E458)</f>
        <v/>
      </c>
      <c r="E458" s="12" t="str">
        <f>IF(Инвентаризация!C458="","",Инвентаризация!F458)</f>
        <v/>
      </c>
      <c r="F458" s="12" t="str">
        <f>IF(Инвентаризация!C458="","",Инвентаризация!G458)</f>
        <v/>
      </c>
      <c r="G458" s="12" t="str">
        <f t="shared" si="35"/>
        <v/>
      </c>
      <c r="H458" s="13" t="str">
        <f t="shared" si="36"/>
        <v/>
      </c>
      <c r="I458" s="12" t="str">
        <f t="shared" si="37"/>
        <v/>
      </c>
      <c r="J458" s="12" t="str">
        <f t="shared" si="38"/>
        <v/>
      </c>
      <c r="K458" s="12" t="str">
        <f t="shared" si="39"/>
        <v/>
      </c>
      <c r="L458" s="10" t="str">
        <f>IF(Инвентаризация!C458="","",Инвентаризация!M458)</f>
        <v/>
      </c>
      <c r="M458" s="10" t="str">
        <f>IF(Инвентаризация!C458="","",Инвентаризация!N458)</f>
        <v/>
      </c>
      <c r="N458" s="10" t="str">
        <f>IF(Инвентаризация!C458="","",Инвентаризация!O458)</f>
        <v/>
      </c>
      <c r="O458" s="10" t="str">
        <f>IF(Инвентаризация!C458="","",Инвентаризация!P458)</f>
        <v/>
      </c>
      <c r="P458" s="8" t="str">
        <f>IF(Инвентаризация!C458="","",Инвентаризация!Q458)</f>
        <v/>
      </c>
    </row>
    <row r="459" spans="1:16">
      <c r="A459" s="10" t="str">
        <f>IF(Инвентаризация!C459="","",Инвентаризация!B459)</f>
        <v/>
      </c>
      <c r="B459" s="10" t="str">
        <f>IF(Инвентаризация!C459="","",Инвентаризация!C459)</f>
        <v/>
      </c>
      <c r="C459" s="5" t="str">
        <f>IF(Инвентаризация!C459="","",Инвентаризация!D459)</f>
        <v/>
      </c>
      <c r="D459" s="11" t="str">
        <f>IF(Инвентаризация!C459="","",Инвентаризация!E459)</f>
        <v/>
      </c>
      <c r="E459" s="12" t="str">
        <f>IF(Инвентаризация!C459="","",Инвентаризация!F459)</f>
        <v/>
      </c>
      <c r="F459" s="12" t="str">
        <f>IF(Инвентаризация!C459="","",Инвентаризация!G459)</f>
        <v/>
      </c>
      <c r="G459" s="12" t="str">
        <f t="shared" si="35"/>
        <v/>
      </c>
      <c r="H459" s="13" t="str">
        <f t="shared" si="36"/>
        <v/>
      </c>
      <c r="I459" s="12" t="str">
        <f t="shared" si="37"/>
        <v/>
      </c>
      <c r="J459" s="12" t="str">
        <f t="shared" si="38"/>
        <v/>
      </c>
      <c r="K459" s="12" t="str">
        <f t="shared" si="39"/>
        <v/>
      </c>
      <c r="L459" s="10" t="str">
        <f>IF(Инвентаризация!C459="","",Инвентаризация!M459)</f>
        <v/>
      </c>
      <c r="M459" s="10" t="str">
        <f>IF(Инвентаризация!C459="","",Инвентаризация!N459)</f>
        <v/>
      </c>
      <c r="N459" s="10" t="str">
        <f>IF(Инвентаризация!C459="","",Инвентаризация!O459)</f>
        <v/>
      </c>
      <c r="O459" s="10" t="str">
        <f>IF(Инвентаризация!C459="","",Инвентаризация!P459)</f>
        <v/>
      </c>
      <c r="P459" s="8" t="str">
        <f>IF(Инвентаризация!C459="","",Инвентаризация!Q459)</f>
        <v/>
      </c>
    </row>
    <row r="460" spans="1:16">
      <c r="A460" s="10" t="str">
        <f>IF(Инвентаризация!C460="","",Инвентаризация!B460)</f>
        <v/>
      </c>
      <c r="B460" s="10" t="str">
        <f>IF(Инвентаризация!C460="","",Инвентаризация!C460)</f>
        <v/>
      </c>
      <c r="C460" s="5" t="str">
        <f>IF(Инвентаризация!C460="","",Инвентаризация!D460)</f>
        <v/>
      </c>
      <c r="D460" s="11" t="str">
        <f>IF(Инвентаризация!C460="","",Инвентаризация!E460)</f>
        <v/>
      </c>
      <c r="E460" s="12" t="str">
        <f>IF(Инвентаризация!C460="","",Инвентаризация!F460)</f>
        <v/>
      </c>
      <c r="F460" s="12" t="str">
        <f>IF(Инвентаризация!C460="","",Инвентаризация!G460)</f>
        <v/>
      </c>
      <c r="G460" s="12" t="str">
        <f t="shared" si="35"/>
        <v/>
      </c>
      <c r="H460" s="13" t="str">
        <f t="shared" si="36"/>
        <v/>
      </c>
      <c r="I460" s="12" t="str">
        <f t="shared" si="37"/>
        <v/>
      </c>
      <c r="J460" s="12" t="str">
        <f t="shared" si="38"/>
        <v/>
      </c>
      <c r="K460" s="12" t="str">
        <f t="shared" si="39"/>
        <v/>
      </c>
      <c r="L460" s="10" t="str">
        <f>IF(Инвентаризация!C460="","",Инвентаризация!M460)</f>
        <v/>
      </c>
      <c r="M460" s="10" t="str">
        <f>IF(Инвентаризация!C460="","",Инвентаризация!N460)</f>
        <v/>
      </c>
      <c r="N460" s="10" t="str">
        <f>IF(Инвентаризация!C460="","",Инвентаризация!O460)</f>
        <v/>
      </c>
      <c r="O460" s="10" t="str">
        <f>IF(Инвентаризация!C460="","",Инвентаризация!P460)</f>
        <v/>
      </c>
      <c r="P460" s="8" t="str">
        <f>IF(Инвентаризация!C460="","",Инвентаризация!Q460)</f>
        <v/>
      </c>
    </row>
    <row r="461" spans="1:16">
      <c r="A461" s="10" t="str">
        <f>IF(Инвентаризация!C461="","",Инвентаризация!B461)</f>
        <v/>
      </c>
      <c r="B461" s="10" t="str">
        <f>IF(Инвентаризация!C461="","",Инвентаризация!C461)</f>
        <v/>
      </c>
      <c r="C461" s="5" t="str">
        <f>IF(Инвентаризация!C461="","",Инвентаризация!D461)</f>
        <v/>
      </c>
      <c r="D461" s="11" t="str">
        <f>IF(Инвентаризация!C461="","",Инвентаризация!E461)</f>
        <v/>
      </c>
      <c r="E461" s="12" t="str">
        <f>IF(Инвентаризация!C461="","",Инвентаризация!F461)</f>
        <v/>
      </c>
      <c r="F461" s="12" t="str">
        <f>IF(Инвентаризация!C461="","",Инвентаризация!G461)</f>
        <v/>
      </c>
      <c r="G461" s="12" t="str">
        <f t="shared" si="35"/>
        <v/>
      </c>
      <c r="H461" s="13" t="str">
        <f t="shared" si="36"/>
        <v/>
      </c>
      <c r="I461" s="12" t="str">
        <f t="shared" si="37"/>
        <v/>
      </c>
      <c r="J461" s="12" t="str">
        <f t="shared" si="38"/>
        <v/>
      </c>
      <c r="K461" s="12" t="str">
        <f t="shared" si="39"/>
        <v/>
      </c>
      <c r="L461" s="10" t="str">
        <f>IF(Инвентаризация!C461="","",Инвентаризация!M461)</f>
        <v/>
      </c>
      <c r="M461" s="10" t="str">
        <f>IF(Инвентаризация!C461="","",Инвентаризация!N461)</f>
        <v/>
      </c>
      <c r="N461" s="10" t="str">
        <f>IF(Инвентаризация!C461="","",Инвентаризация!O461)</f>
        <v/>
      </c>
      <c r="O461" s="10" t="str">
        <f>IF(Инвентаризация!C461="","",Инвентаризация!P461)</f>
        <v/>
      </c>
      <c r="P461" s="8" t="str">
        <f>IF(Инвентаризация!C461="","",Инвентаризация!Q461)</f>
        <v/>
      </c>
    </row>
    <row r="462" spans="1:16">
      <c r="A462" s="10" t="str">
        <f>IF(Инвентаризация!C462="","",Инвентаризация!B462)</f>
        <v/>
      </c>
      <c r="B462" s="10" t="str">
        <f>IF(Инвентаризация!C462="","",Инвентаризация!C462)</f>
        <v/>
      </c>
      <c r="C462" s="5" t="str">
        <f>IF(Инвентаризация!C462="","",Инвентаризация!D462)</f>
        <v/>
      </c>
      <c r="D462" s="11" t="str">
        <f>IF(Инвентаризация!C462="","",Инвентаризация!E462)</f>
        <v/>
      </c>
      <c r="E462" s="12" t="str">
        <f>IF(Инвентаризация!C462="","",Инвентаризация!F462)</f>
        <v/>
      </c>
      <c r="F462" s="12" t="str">
        <f>IF(Инвентаризация!C462="","",Инвентаризация!G462)</f>
        <v/>
      </c>
      <c r="G462" s="12" t="str">
        <f t="shared" si="35"/>
        <v/>
      </c>
      <c r="H462" s="13" t="str">
        <f t="shared" si="36"/>
        <v/>
      </c>
      <c r="I462" s="12" t="str">
        <f t="shared" si="37"/>
        <v/>
      </c>
      <c r="J462" s="12" t="str">
        <f t="shared" si="38"/>
        <v/>
      </c>
      <c r="K462" s="12" t="str">
        <f t="shared" si="39"/>
        <v/>
      </c>
      <c r="L462" s="10" t="str">
        <f>IF(Инвентаризация!C462="","",Инвентаризация!M462)</f>
        <v/>
      </c>
      <c r="M462" s="10" t="str">
        <f>IF(Инвентаризация!C462="","",Инвентаризация!N462)</f>
        <v/>
      </c>
      <c r="N462" s="10" t="str">
        <f>IF(Инвентаризация!C462="","",Инвентаризация!O462)</f>
        <v/>
      </c>
      <c r="O462" s="10" t="str">
        <f>IF(Инвентаризация!C462="","",Инвентаризация!P462)</f>
        <v/>
      </c>
      <c r="P462" s="8" t="str">
        <f>IF(Инвентаризация!C462="","",Инвентаризация!Q462)</f>
        <v/>
      </c>
    </row>
    <row r="463" spans="1:16">
      <c r="A463" s="10" t="str">
        <f>IF(Инвентаризация!C463="","",Инвентаризация!B463)</f>
        <v/>
      </c>
      <c r="B463" s="10" t="str">
        <f>IF(Инвентаризация!C463="","",Инвентаризация!C463)</f>
        <v/>
      </c>
      <c r="C463" s="5" t="str">
        <f>IF(Инвентаризация!C463="","",Инвентаризация!D463)</f>
        <v/>
      </c>
      <c r="D463" s="11" t="str">
        <f>IF(Инвентаризация!C463="","",Инвентаризация!E463)</f>
        <v/>
      </c>
      <c r="E463" s="12" t="str">
        <f>IF(Инвентаризация!C463="","",Инвентаризация!F463)</f>
        <v/>
      </c>
      <c r="F463" s="12" t="str">
        <f>IF(Инвентаризация!C463="","",Инвентаризация!G463)</f>
        <v/>
      </c>
      <c r="G463" s="12" t="str">
        <f t="shared" si="35"/>
        <v/>
      </c>
      <c r="H463" s="13" t="str">
        <f t="shared" si="36"/>
        <v/>
      </c>
      <c r="I463" s="12" t="str">
        <f t="shared" si="37"/>
        <v/>
      </c>
      <c r="J463" s="12" t="str">
        <f t="shared" si="38"/>
        <v/>
      </c>
      <c r="K463" s="12" t="str">
        <f t="shared" si="39"/>
        <v/>
      </c>
      <c r="L463" s="10" t="str">
        <f>IF(Инвентаризация!C463="","",Инвентаризация!M463)</f>
        <v/>
      </c>
      <c r="M463" s="10" t="str">
        <f>IF(Инвентаризация!C463="","",Инвентаризация!N463)</f>
        <v/>
      </c>
      <c r="N463" s="10" t="str">
        <f>IF(Инвентаризация!C463="","",Инвентаризация!O463)</f>
        <v/>
      </c>
      <c r="O463" s="10" t="str">
        <f>IF(Инвентаризация!C463="","",Инвентаризация!P463)</f>
        <v/>
      </c>
      <c r="P463" s="8" t="str">
        <f>IF(Инвентаризация!C463="","",Инвентаризация!Q463)</f>
        <v/>
      </c>
    </row>
    <row r="464" spans="1:16">
      <c r="A464" s="10" t="str">
        <f>IF(Инвентаризация!C464="","",Инвентаризация!B464)</f>
        <v/>
      </c>
      <c r="B464" s="10" t="str">
        <f>IF(Инвентаризация!C464="","",Инвентаризация!C464)</f>
        <v/>
      </c>
      <c r="C464" s="5" t="str">
        <f>IF(Инвентаризация!C464="","",Инвентаризация!D464)</f>
        <v/>
      </c>
      <c r="D464" s="11" t="str">
        <f>IF(Инвентаризация!C464="","",Инвентаризация!E464)</f>
        <v/>
      </c>
      <c r="E464" s="12" t="str">
        <f>IF(Инвентаризация!C464="","",Инвентаризация!F464)</f>
        <v/>
      </c>
      <c r="F464" s="12" t="str">
        <f>IF(Инвентаризация!C464="","",Инвентаризация!G464)</f>
        <v/>
      </c>
      <c r="G464" s="12" t="str">
        <f t="shared" si="35"/>
        <v/>
      </c>
      <c r="H464" s="13" t="str">
        <f t="shared" si="36"/>
        <v/>
      </c>
      <c r="I464" s="12" t="str">
        <f t="shared" si="37"/>
        <v/>
      </c>
      <c r="J464" s="12" t="str">
        <f t="shared" si="38"/>
        <v/>
      </c>
      <c r="K464" s="12" t="str">
        <f t="shared" si="39"/>
        <v/>
      </c>
      <c r="L464" s="10" t="str">
        <f>IF(Инвентаризация!C464="","",Инвентаризация!M464)</f>
        <v/>
      </c>
      <c r="M464" s="10" t="str">
        <f>IF(Инвентаризация!C464="","",Инвентаризация!N464)</f>
        <v/>
      </c>
      <c r="N464" s="10" t="str">
        <f>IF(Инвентаризация!C464="","",Инвентаризация!O464)</f>
        <v/>
      </c>
      <c r="O464" s="10" t="str">
        <f>IF(Инвентаризация!C464="","",Инвентаризация!P464)</f>
        <v/>
      </c>
      <c r="P464" s="8" t="str">
        <f>IF(Инвентаризация!C464="","",Инвентаризация!Q464)</f>
        <v/>
      </c>
    </row>
    <row r="465" spans="1:16">
      <c r="A465" s="10" t="str">
        <f>IF(Инвентаризация!C465="","",Инвентаризация!B465)</f>
        <v/>
      </c>
      <c r="B465" s="10" t="str">
        <f>IF(Инвентаризация!C465="","",Инвентаризация!C465)</f>
        <v/>
      </c>
      <c r="C465" s="5" t="str">
        <f>IF(Инвентаризация!C465="","",Инвентаризация!D465)</f>
        <v/>
      </c>
      <c r="D465" s="11" t="str">
        <f>IF(Инвентаризация!C465="","",Инвентаризация!E465)</f>
        <v/>
      </c>
      <c r="E465" s="12" t="str">
        <f>IF(Инвентаризация!C465="","",Инвентаризация!F465)</f>
        <v/>
      </c>
      <c r="F465" s="12" t="str">
        <f>IF(Инвентаризация!C465="","",Инвентаризация!G465)</f>
        <v/>
      </c>
      <c r="G465" s="12" t="str">
        <f t="shared" si="35"/>
        <v/>
      </c>
      <c r="H465" s="13" t="str">
        <f t="shared" si="36"/>
        <v/>
      </c>
      <c r="I465" s="12" t="str">
        <f t="shared" si="37"/>
        <v/>
      </c>
      <c r="J465" s="12" t="str">
        <f t="shared" si="38"/>
        <v/>
      </c>
      <c r="K465" s="12" t="str">
        <f t="shared" si="39"/>
        <v/>
      </c>
      <c r="L465" s="10" t="str">
        <f>IF(Инвентаризация!C465="","",Инвентаризация!M465)</f>
        <v/>
      </c>
      <c r="M465" s="10" t="str">
        <f>IF(Инвентаризация!C465="","",Инвентаризация!N465)</f>
        <v/>
      </c>
      <c r="N465" s="10" t="str">
        <f>IF(Инвентаризация!C465="","",Инвентаризация!O465)</f>
        <v/>
      </c>
      <c r="O465" s="10" t="str">
        <f>IF(Инвентаризация!C465="","",Инвентаризация!P465)</f>
        <v/>
      </c>
      <c r="P465" s="8" t="str">
        <f>IF(Инвентаризация!C465="","",Инвентаризация!Q465)</f>
        <v/>
      </c>
    </row>
    <row r="466" spans="1:16">
      <c r="A466" s="10" t="str">
        <f>IF(Инвентаризация!C466="","",Инвентаризация!B466)</f>
        <v/>
      </c>
      <c r="B466" s="10" t="str">
        <f>IF(Инвентаризация!C466="","",Инвентаризация!C466)</f>
        <v/>
      </c>
      <c r="C466" s="5" t="str">
        <f>IF(Инвентаризация!C466="","",Инвентаризация!D466)</f>
        <v/>
      </c>
      <c r="D466" s="11" t="str">
        <f>IF(Инвентаризация!C466="","",Инвентаризация!E466)</f>
        <v/>
      </c>
      <c r="E466" s="12" t="str">
        <f>IF(Инвентаризация!C466="","",Инвентаризация!F466)</f>
        <v/>
      </c>
      <c r="F466" s="12" t="str">
        <f>IF(Инвентаризация!C466="","",Инвентаризация!G466)</f>
        <v/>
      </c>
      <c r="G466" s="12" t="str">
        <f t="shared" si="35"/>
        <v/>
      </c>
      <c r="H466" s="13" t="str">
        <f t="shared" si="36"/>
        <v/>
      </c>
      <c r="I466" s="12" t="str">
        <f t="shared" si="37"/>
        <v/>
      </c>
      <c r="J466" s="12" t="str">
        <f t="shared" si="38"/>
        <v/>
      </c>
      <c r="K466" s="12" t="str">
        <f t="shared" si="39"/>
        <v/>
      </c>
      <c r="L466" s="10" t="str">
        <f>IF(Инвентаризация!C466="","",Инвентаризация!M466)</f>
        <v/>
      </c>
      <c r="M466" s="10" t="str">
        <f>IF(Инвентаризация!C466="","",Инвентаризация!N466)</f>
        <v/>
      </c>
      <c r="N466" s="10" t="str">
        <f>IF(Инвентаризация!C466="","",Инвентаризация!O466)</f>
        <v/>
      </c>
      <c r="O466" s="10" t="str">
        <f>IF(Инвентаризация!C466="","",Инвентаризация!P466)</f>
        <v/>
      </c>
      <c r="P466" s="8" t="str">
        <f>IF(Инвентаризация!C466="","",Инвентаризация!Q466)</f>
        <v/>
      </c>
    </row>
    <row r="467" spans="1:16">
      <c r="A467" s="10" t="str">
        <f>IF(Инвентаризация!C467="","",Инвентаризация!B467)</f>
        <v/>
      </c>
      <c r="B467" s="10" t="str">
        <f>IF(Инвентаризация!C467="","",Инвентаризация!C467)</f>
        <v/>
      </c>
      <c r="C467" s="5" t="str">
        <f>IF(Инвентаризация!C467="","",Инвентаризация!D467)</f>
        <v/>
      </c>
      <c r="D467" s="11" t="str">
        <f>IF(Инвентаризация!C467="","",Инвентаризация!E467)</f>
        <v/>
      </c>
      <c r="E467" s="12" t="str">
        <f>IF(Инвентаризация!C467="","",Инвентаризация!F467)</f>
        <v/>
      </c>
      <c r="F467" s="12" t="str">
        <f>IF(Инвентаризация!C467="","",Инвентаризация!G467)</f>
        <v/>
      </c>
      <c r="G467" s="12" t="str">
        <f t="shared" si="35"/>
        <v/>
      </c>
      <c r="H467" s="13" t="str">
        <f t="shared" si="36"/>
        <v/>
      </c>
      <c r="I467" s="12" t="str">
        <f t="shared" si="37"/>
        <v/>
      </c>
      <c r="J467" s="12" t="str">
        <f t="shared" si="38"/>
        <v/>
      </c>
      <c r="K467" s="12" t="str">
        <f t="shared" si="39"/>
        <v/>
      </c>
      <c r="L467" s="10" t="str">
        <f>IF(Инвентаризация!C467="","",Инвентаризация!M467)</f>
        <v/>
      </c>
      <c r="M467" s="10" t="str">
        <f>IF(Инвентаризация!C467="","",Инвентаризация!N467)</f>
        <v/>
      </c>
      <c r="N467" s="10" t="str">
        <f>IF(Инвентаризация!C467="","",Инвентаризация!O467)</f>
        <v/>
      </c>
      <c r="O467" s="10" t="str">
        <f>IF(Инвентаризация!C467="","",Инвентаризация!P467)</f>
        <v/>
      </c>
      <c r="P467" s="8" t="str">
        <f>IF(Инвентаризация!C467="","",Инвентаризация!Q467)</f>
        <v/>
      </c>
    </row>
    <row r="468" spans="1:16">
      <c r="A468" s="10" t="str">
        <f>IF(Инвентаризация!C468="","",Инвентаризация!B468)</f>
        <v/>
      </c>
      <c r="B468" s="10" t="str">
        <f>IF(Инвентаризация!C468="","",Инвентаризация!C468)</f>
        <v/>
      </c>
      <c r="C468" s="5" t="str">
        <f>IF(Инвентаризация!C468="","",Инвентаризация!D468)</f>
        <v/>
      </c>
      <c r="D468" s="11" t="str">
        <f>IF(Инвентаризация!C468="","",Инвентаризация!E468)</f>
        <v/>
      </c>
      <c r="E468" s="12" t="str">
        <f>IF(Инвентаризация!C468="","",Инвентаризация!F468)</f>
        <v/>
      </c>
      <c r="F468" s="12" t="str">
        <f>IF(Инвентаризация!C468="","",Инвентаризация!G468)</f>
        <v/>
      </c>
      <c r="G468" s="12" t="str">
        <f t="shared" si="35"/>
        <v/>
      </c>
      <c r="H468" s="13" t="str">
        <f t="shared" si="36"/>
        <v/>
      </c>
      <c r="I468" s="12" t="str">
        <f t="shared" si="37"/>
        <v/>
      </c>
      <c r="J468" s="12" t="str">
        <f t="shared" si="38"/>
        <v/>
      </c>
      <c r="K468" s="12" t="str">
        <f t="shared" si="39"/>
        <v/>
      </c>
      <c r="L468" s="10" t="str">
        <f>IF(Инвентаризация!C468="","",Инвентаризация!M468)</f>
        <v/>
      </c>
      <c r="M468" s="10" t="str">
        <f>IF(Инвентаризация!C468="","",Инвентаризация!N468)</f>
        <v/>
      </c>
      <c r="N468" s="10" t="str">
        <f>IF(Инвентаризация!C468="","",Инвентаризация!O468)</f>
        <v/>
      </c>
      <c r="O468" s="10" t="str">
        <f>IF(Инвентаризация!C468="","",Инвентаризация!P468)</f>
        <v/>
      </c>
      <c r="P468" s="8" t="str">
        <f>IF(Инвентаризация!C468="","",Инвентаризация!Q468)</f>
        <v/>
      </c>
    </row>
    <row r="469" spans="1:16">
      <c r="A469" s="10" t="str">
        <f>IF(Инвентаризация!C469="","",Инвентаризация!B469)</f>
        <v/>
      </c>
      <c r="B469" s="10" t="str">
        <f>IF(Инвентаризация!C469="","",Инвентаризация!C469)</f>
        <v/>
      </c>
      <c r="C469" s="5" t="str">
        <f>IF(Инвентаризация!C469="","",Инвентаризация!D469)</f>
        <v/>
      </c>
      <c r="D469" s="11" t="str">
        <f>IF(Инвентаризация!C469="","",Инвентаризация!E469)</f>
        <v/>
      </c>
      <c r="E469" s="12" t="str">
        <f>IF(Инвентаризация!C469="","",Инвентаризация!F469)</f>
        <v/>
      </c>
      <c r="F469" s="12" t="str">
        <f>IF(Инвентаризация!C469="","",Инвентаризация!G469)</f>
        <v/>
      </c>
      <c r="G469" s="12" t="str">
        <f t="shared" si="35"/>
        <v/>
      </c>
      <c r="H469" s="13" t="str">
        <f t="shared" si="36"/>
        <v/>
      </c>
      <c r="I469" s="12" t="str">
        <f t="shared" si="37"/>
        <v/>
      </c>
      <c r="J469" s="12" t="str">
        <f t="shared" si="38"/>
        <v/>
      </c>
      <c r="K469" s="12" t="str">
        <f t="shared" si="39"/>
        <v/>
      </c>
      <c r="L469" s="10" t="str">
        <f>IF(Инвентаризация!C469="","",Инвентаризация!M469)</f>
        <v/>
      </c>
      <c r="M469" s="10" t="str">
        <f>IF(Инвентаризация!C469="","",Инвентаризация!N469)</f>
        <v/>
      </c>
      <c r="N469" s="10" t="str">
        <f>IF(Инвентаризация!C469="","",Инвентаризация!O469)</f>
        <v/>
      </c>
      <c r="O469" s="10" t="str">
        <f>IF(Инвентаризация!C469="","",Инвентаризация!P469)</f>
        <v/>
      </c>
      <c r="P469" s="8" t="str">
        <f>IF(Инвентаризация!C469="","",Инвентаризация!Q469)</f>
        <v/>
      </c>
    </row>
    <row r="470" spans="1:16">
      <c r="A470" s="10" t="str">
        <f>IF(Инвентаризация!C470="","",Инвентаризация!B470)</f>
        <v/>
      </c>
      <c r="B470" s="10" t="str">
        <f>IF(Инвентаризация!C470="","",Инвентаризация!C470)</f>
        <v/>
      </c>
      <c r="C470" s="5" t="str">
        <f>IF(Инвентаризация!C470="","",Инвентаризация!D470)</f>
        <v/>
      </c>
      <c r="D470" s="11" t="str">
        <f>IF(Инвентаризация!C470="","",Инвентаризация!E470)</f>
        <v/>
      </c>
      <c r="E470" s="12" t="str">
        <f>IF(Инвентаризация!C470="","",Инвентаризация!F470)</f>
        <v/>
      </c>
      <c r="F470" s="12" t="str">
        <f>IF(Инвентаризация!C470="","",Инвентаризация!G470)</f>
        <v/>
      </c>
      <c r="G470" s="12" t="str">
        <f t="shared" si="35"/>
        <v/>
      </c>
      <c r="H470" s="13" t="str">
        <f t="shared" si="36"/>
        <v/>
      </c>
      <c r="I470" s="12" t="str">
        <f t="shared" si="37"/>
        <v/>
      </c>
      <c r="J470" s="12" t="str">
        <f t="shared" si="38"/>
        <v/>
      </c>
      <c r="K470" s="12" t="str">
        <f t="shared" si="39"/>
        <v/>
      </c>
      <c r="L470" s="10" t="str">
        <f>IF(Инвентаризация!C470="","",Инвентаризация!M470)</f>
        <v/>
      </c>
      <c r="M470" s="10" t="str">
        <f>IF(Инвентаризация!C470="","",Инвентаризация!N470)</f>
        <v/>
      </c>
      <c r="N470" s="10" t="str">
        <f>IF(Инвентаризация!C470="","",Инвентаризация!O470)</f>
        <v/>
      </c>
      <c r="O470" s="10" t="str">
        <f>IF(Инвентаризация!C470="","",Инвентаризация!P470)</f>
        <v/>
      </c>
      <c r="P470" s="8" t="str">
        <f>IF(Инвентаризация!C470="","",Инвентаризация!Q470)</f>
        <v/>
      </c>
    </row>
    <row r="471" spans="1:16">
      <c r="A471" s="10" t="str">
        <f>IF(Инвентаризация!C471="","",Инвентаризация!B471)</f>
        <v/>
      </c>
      <c r="B471" s="10" t="str">
        <f>IF(Инвентаризация!C471="","",Инвентаризация!C471)</f>
        <v/>
      </c>
      <c r="C471" s="5" t="str">
        <f>IF(Инвентаризация!C471="","",Инвентаризация!D471)</f>
        <v/>
      </c>
      <c r="D471" s="11" t="str">
        <f>IF(Инвентаризация!C471="","",Инвентаризация!E471)</f>
        <v/>
      </c>
      <c r="E471" s="12" t="str">
        <f>IF(Инвентаризация!C471="","",Инвентаризация!F471)</f>
        <v/>
      </c>
      <c r="F471" s="12" t="str">
        <f>IF(Инвентаризация!C471="","",Инвентаризация!G471)</f>
        <v/>
      </c>
      <c r="G471" s="12" t="str">
        <f t="shared" si="35"/>
        <v/>
      </c>
      <c r="H471" s="13" t="str">
        <f t="shared" si="36"/>
        <v/>
      </c>
      <c r="I471" s="12" t="str">
        <f t="shared" si="37"/>
        <v/>
      </c>
      <c r="J471" s="12" t="str">
        <f t="shared" si="38"/>
        <v/>
      </c>
      <c r="K471" s="12" t="str">
        <f t="shared" si="39"/>
        <v/>
      </c>
      <c r="L471" s="10" t="str">
        <f>IF(Инвентаризация!C471="","",Инвентаризация!M471)</f>
        <v/>
      </c>
      <c r="M471" s="10" t="str">
        <f>IF(Инвентаризация!C471="","",Инвентаризация!N471)</f>
        <v/>
      </c>
      <c r="N471" s="10" t="str">
        <f>IF(Инвентаризация!C471="","",Инвентаризация!O471)</f>
        <v/>
      </c>
      <c r="O471" s="10" t="str">
        <f>IF(Инвентаризация!C471="","",Инвентаризация!P471)</f>
        <v/>
      </c>
      <c r="P471" s="8" t="str">
        <f>IF(Инвентаризация!C471="","",Инвентаризация!Q471)</f>
        <v/>
      </c>
    </row>
    <row r="472" spans="1:16">
      <c r="A472" s="10" t="str">
        <f>IF(Инвентаризация!C472="","",Инвентаризация!B472)</f>
        <v/>
      </c>
      <c r="B472" s="10" t="str">
        <f>IF(Инвентаризация!C472="","",Инвентаризация!C472)</f>
        <v/>
      </c>
      <c r="C472" s="5" t="str">
        <f>IF(Инвентаризация!C472="","",Инвентаризация!D472)</f>
        <v/>
      </c>
      <c r="D472" s="11" t="str">
        <f>IF(Инвентаризация!C472="","",Инвентаризация!E472)</f>
        <v/>
      </c>
      <c r="E472" s="12" t="str">
        <f>IF(Инвентаризация!C472="","",Инвентаризация!F472)</f>
        <v/>
      </c>
      <c r="F472" s="12" t="str">
        <f>IF(Инвентаризация!C472="","",Инвентаризация!G472)</f>
        <v/>
      </c>
      <c r="G472" s="12" t="str">
        <f t="shared" si="35"/>
        <v/>
      </c>
      <c r="H472" s="13" t="str">
        <f t="shared" si="36"/>
        <v/>
      </c>
      <c r="I472" s="12" t="str">
        <f t="shared" si="37"/>
        <v/>
      </c>
      <c r="J472" s="12" t="str">
        <f t="shared" si="38"/>
        <v/>
      </c>
      <c r="K472" s="12" t="str">
        <f t="shared" si="39"/>
        <v/>
      </c>
      <c r="L472" s="10" t="str">
        <f>IF(Инвентаризация!C472="","",Инвентаризация!M472)</f>
        <v/>
      </c>
      <c r="M472" s="10" t="str">
        <f>IF(Инвентаризация!C472="","",Инвентаризация!N472)</f>
        <v/>
      </c>
      <c r="N472" s="10" t="str">
        <f>IF(Инвентаризация!C472="","",Инвентаризация!O472)</f>
        <v/>
      </c>
      <c r="O472" s="10" t="str">
        <f>IF(Инвентаризация!C472="","",Инвентаризация!P472)</f>
        <v/>
      </c>
      <c r="P472" s="8" t="str">
        <f>IF(Инвентаризация!C472="","",Инвентаризация!Q472)</f>
        <v/>
      </c>
    </row>
    <row r="473" spans="1:16">
      <c r="A473" s="10" t="str">
        <f>IF(Инвентаризация!C473="","",Инвентаризация!B473)</f>
        <v/>
      </c>
      <c r="B473" s="10" t="str">
        <f>IF(Инвентаризация!C473="","",Инвентаризация!C473)</f>
        <v/>
      </c>
      <c r="C473" s="5" t="str">
        <f>IF(Инвентаризация!C473="","",Инвентаризация!D473)</f>
        <v/>
      </c>
      <c r="D473" s="11" t="str">
        <f>IF(Инвентаризация!C473="","",Инвентаризация!E473)</f>
        <v/>
      </c>
      <c r="E473" s="12" t="str">
        <f>IF(Инвентаризация!C473="","",Инвентаризация!F473)</f>
        <v/>
      </c>
      <c r="F473" s="12" t="str">
        <f>IF(Инвентаризация!C473="","",Инвентаризация!G473)</f>
        <v/>
      </c>
      <c r="G473" s="12" t="str">
        <f t="shared" si="35"/>
        <v/>
      </c>
      <c r="H473" s="13" t="str">
        <f t="shared" si="36"/>
        <v/>
      </c>
      <c r="I473" s="12" t="str">
        <f t="shared" si="37"/>
        <v/>
      </c>
      <c r="J473" s="12" t="str">
        <f t="shared" si="38"/>
        <v/>
      </c>
      <c r="K473" s="12" t="str">
        <f t="shared" si="39"/>
        <v/>
      </c>
      <c r="L473" s="10" t="str">
        <f>IF(Инвентаризация!C473="","",Инвентаризация!M473)</f>
        <v/>
      </c>
      <c r="M473" s="10" t="str">
        <f>IF(Инвентаризация!C473="","",Инвентаризация!N473)</f>
        <v/>
      </c>
      <c r="N473" s="10" t="str">
        <f>IF(Инвентаризация!C473="","",Инвентаризация!O473)</f>
        <v/>
      </c>
      <c r="O473" s="10" t="str">
        <f>IF(Инвентаризация!C473="","",Инвентаризация!P473)</f>
        <v/>
      </c>
      <c r="P473" s="8" t="str">
        <f>IF(Инвентаризация!C473="","",Инвентаризация!Q473)</f>
        <v/>
      </c>
    </row>
    <row r="474" spans="1:16">
      <c r="A474" s="10" t="str">
        <f>IF(Инвентаризация!C474="","",Инвентаризация!B474)</f>
        <v/>
      </c>
      <c r="B474" s="10" t="str">
        <f>IF(Инвентаризация!C474="","",Инвентаризация!C474)</f>
        <v/>
      </c>
      <c r="C474" s="5" t="str">
        <f>IF(Инвентаризация!C474="","",Инвентаризация!D474)</f>
        <v/>
      </c>
      <c r="D474" s="11" t="str">
        <f>IF(Инвентаризация!C474="","",Инвентаризация!E474)</f>
        <v/>
      </c>
      <c r="E474" s="12" t="str">
        <f>IF(Инвентаризация!C474="","",Инвентаризация!F474)</f>
        <v/>
      </c>
      <c r="F474" s="12" t="str">
        <f>IF(Инвентаризация!C474="","",Инвентаризация!G474)</f>
        <v/>
      </c>
      <c r="G474" s="12" t="str">
        <f t="shared" si="35"/>
        <v/>
      </c>
      <c r="H474" s="13" t="str">
        <f t="shared" si="36"/>
        <v/>
      </c>
      <c r="I474" s="12" t="str">
        <f t="shared" si="37"/>
        <v/>
      </c>
      <c r="J474" s="12" t="str">
        <f t="shared" si="38"/>
        <v/>
      </c>
      <c r="K474" s="12" t="str">
        <f t="shared" si="39"/>
        <v/>
      </c>
      <c r="L474" s="10" t="str">
        <f>IF(Инвентаризация!C474="","",Инвентаризация!M474)</f>
        <v/>
      </c>
      <c r="M474" s="10" t="str">
        <f>IF(Инвентаризация!C474="","",Инвентаризация!N474)</f>
        <v/>
      </c>
      <c r="N474" s="10" t="str">
        <f>IF(Инвентаризация!C474="","",Инвентаризация!O474)</f>
        <v/>
      </c>
      <c r="O474" s="10" t="str">
        <f>IF(Инвентаризация!C474="","",Инвентаризация!P474)</f>
        <v/>
      </c>
      <c r="P474" s="8" t="str">
        <f>IF(Инвентаризация!C474="","",Инвентаризация!Q474)</f>
        <v/>
      </c>
    </row>
    <row r="475" spans="1:16">
      <c r="A475" s="10" t="str">
        <f>IF(Инвентаризация!C475="","",Инвентаризация!B475)</f>
        <v/>
      </c>
      <c r="B475" s="10" t="str">
        <f>IF(Инвентаризация!C475="","",Инвентаризация!C475)</f>
        <v/>
      </c>
      <c r="C475" s="5" t="str">
        <f>IF(Инвентаризация!C475="","",Инвентаризация!D475)</f>
        <v/>
      </c>
      <c r="D475" s="11" t="str">
        <f>IF(Инвентаризация!C475="","",Инвентаризация!E475)</f>
        <v/>
      </c>
      <c r="E475" s="12" t="str">
        <f>IF(Инвентаризация!C475="","",Инвентаризация!F475)</f>
        <v/>
      </c>
      <c r="F475" s="12" t="str">
        <f>IF(Инвентаризация!C475="","",Инвентаризация!G475)</f>
        <v/>
      </c>
      <c r="G475" s="12" t="str">
        <f t="shared" si="35"/>
        <v/>
      </c>
      <c r="H475" s="13" t="str">
        <f t="shared" si="36"/>
        <v/>
      </c>
      <c r="I475" s="12" t="str">
        <f t="shared" si="37"/>
        <v/>
      </c>
      <c r="J475" s="12" t="str">
        <f t="shared" si="38"/>
        <v/>
      </c>
      <c r="K475" s="12" t="str">
        <f t="shared" si="39"/>
        <v/>
      </c>
      <c r="L475" s="10" t="str">
        <f>IF(Инвентаризация!C475="","",Инвентаризация!M475)</f>
        <v/>
      </c>
      <c r="M475" s="10" t="str">
        <f>IF(Инвентаризация!C475="","",Инвентаризация!N475)</f>
        <v/>
      </c>
      <c r="N475" s="10" t="str">
        <f>IF(Инвентаризация!C475="","",Инвентаризация!O475)</f>
        <v/>
      </c>
      <c r="O475" s="10" t="str">
        <f>IF(Инвентаризация!C475="","",Инвентаризация!P475)</f>
        <v/>
      </c>
      <c r="P475" s="8" t="str">
        <f>IF(Инвентаризация!C475="","",Инвентаризация!Q475)</f>
        <v/>
      </c>
    </row>
    <row r="476" spans="1:16">
      <c r="A476" s="10" t="str">
        <f>IF(Инвентаризация!C476="","",Инвентаризация!B476)</f>
        <v/>
      </c>
      <c r="B476" s="10" t="str">
        <f>IF(Инвентаризация!C476="","",Инвентаризация!C476)</f>
        <v/>
      </c>
      <c r="C476" s="5" t="str">
        <f>IF(Инвентаризация!C476="","",Инвентаризация!D476)</f>
        <v/>
      </c>
      <c r="D476" s="11" t="str">
        <f>IF(Инвентаризация!C476="","",Инвентаризация!E476)</f>
        <v/>
      </c>
      <c r="E476" s="12" t="str">
        <f>IF(Инвентаризация!C476="","",Инвентаризация!F476)</f>
        <v/>
      </c>
      <c r="F476" s="12" t="str">
        <f>IF(Инвентаризация!C476="","",Инвентаризация!G476)</f>
        <v/>
      </c>
      <c r="G476" s="12" t="str">
        <f t="shared" si="35"/>
        <v/>
      </c>
      <c r="H476" s="13" t="str">
        <f t="shared" si="36"/>
        <v/>
      </c>
      <c r="I476" s="12" t="str">
        <f t="shared" si="37"/>
        <v/>
      </c>
      <c r="J476" s="12" t="str">
        <f t="shared" si="38"/>
        <v/>
      </c>
      <c r="K476" s="12" t="str">
        <f t="shared" si="39"/>
        <v/>
      </c>
      <c r="L476" s="10" t="str">
        <f>IF(Инвентаризация!C476="","",Инвентаризация!M476)</f>
        <v/>
      </c>
      <c r="M476" s="10" t="str">
        <f>IF(Инвентаризация!C476="","",Инвентаризация!N476)</f>
        <v/>
      </c>
      <c r="N476" s="10" t="str">
        <f>IF(Инвентаризация!C476="","",Инвентаризация!O476)</f>
        <v/>
      </c>
      <c r="O476" s="10" t="str">
        <f>IF(Инвентаризация!C476="","",Инвентаризация!P476)</f>
        <v/>
      </c>
      <c r="P476" s="8" t="str">
        <f>IF(Инвентаризация!C476="","",Инвентаризация!Q476)</f>
        <v/>
      </c>
    </row>
    <row r="477" spans="1:16">
      <c r="A477" s="10" t="str">
        <f>IF(Инвентаризация!C477="","",Инвентаризация!B477)</f>
        <v/>
      </c>
      <c r="B477" s="10" t="str">
        <f>IF(Инвентаризация!C477="","",Инвентаризация!C477)</f>
        <v/>
      </c>
      <c r="C477" s="5" t="str">
        <f>IF(Инвентаризация!C477="","",Инвентаризация!D477)</f>
        <v/>
      </c>
      <c r="D477" s="11" t="str">
        <f>IF(Инвентаризация!C477="","",Инвентаризация!E477)</f>
        <v/>
      </c>
      <c r="E477" s="12" t="str">
        <f>IF(Инвентаризация!C477="","",Инвентаризация!F477)</f>
        <v/>
      </c>
      <c r="F477" s="12" t="str">
        <f>IF(Инвентаризация!C477="","",Инвентаризация!G477)</f>
        <v/>
      </c>
      <c r="G477" s="12" t="str">
        <f t="shared" si="35"/>
        <v/>
      </c>
      <c r="H477" s="13" t="str">
        <f t="shared" si="36"/>
        <v/>
      </c>
      <c r="I477" s="12" t="str">
        <f t="shared" si="37"/>
        <v/>
      </c>
      <c r="J477" s="12" t="str">
        <f t="shared" si="38"/>
        <v/>
      </c>
      <c r="K477" s="12" t="str">
        <f t="shared" si="39"/>
        <v/>
      </c>
      <c r="L477" s="10" t="str">
        <f>IF(Инвентаризация!C477="","",Инвентаризация!M477)</f>
        <v/>
      </c>
      <c r="M477" s="10" t="str">
        <f>IF(Инвентаризация!C477="","",Инвентаризация!N477)</f>
        <v/>
      </c>
      <c r="N477" s="10" t="str">
        <f>IF(Инвентаризация!C477="","",Инвентаризация!O477)</f>
        <v/>
      </c>
      <c r="O477" s="10" t="str">
        <f>IF(Инвентаризация!C477="","",Инвентаризация!P477)</f>
        <v/>
      </c>
      <c r="P477" s="8" t="str">
        <f>IF(Инвентаризация!C477="","",Инвентаризация!Q477)</f>
        <v/>
      </c>
    </row>
    <row r="478" spans="1:16">
      <c r="A478" s="10" t="str">
        <f>IF(Инвентаризация!C478="","",Инвентаризация!B478)</f>
        <v/>
      </c>
      <c r="B478" s="10" t="str">
        <f>IF(Инвентаризация!C478="","",Инвентаризация!C478)</f>
        <v/>
      </c>
      <c r="C478" s="5" t="str">
        <f>IF(Инвентаризация!C478="","",Инвентаризация!D478)</f>
        <v/>
      </c>
      <c r="D478" s="11" t="str">
        <f>IF(Инвентаризация!C478="","",Инвентаризация!E478)</f>
        <v/>
      </c>
      <c r="E478" s="12" t="str">
        <f>IF(Инвентаризация!C478="","",Инвентаризация!F478)</f>
        <v/>
      </c>
      <c r="F478" s="12" t="str">
        <f>IF(Инвентаризация!C478="","",Инвентаризация!G478)</f>
        <v/>
      </c>
      <c r="G478" s="12" t="str">
        <f t="shared" si="35"/>
        <v/>
      </c>
      <c r="H478" s="13" t="str">
        <f t="shared" si="36"/>
        <v/>
      </c>
      <c r="I478" s="12" t="str">
        <f t="shared" si="37"/>
        <v/>
      </c>
      <c r="J478" s="12" t="str">
        <f t="shared" si="38"/>
        <v/>
      </c>
      <c r="K478" s="12" t="str">
        <f t="shared" si="39"/>
        <v/>
      </c>
      <c r="L478" s="10" t="str">
        <f>IF(Инвентаризация!C478="","",Инвентаризация!M478)</f>
        <v/>
      </c>
      <c r="M478" s="10" t="str">
        <f>IF(Инвентаризация!C478="","",Инвентаризация!N478)</f>
        <v/>
      </c>
      <c r="N478" s="10" t="str">
        <f>IF(Инвентаризация!C478="","",Инвентаризация!O478)</f>
        <v/>
      </c>
      <c r="O478" s="10" t="str">
        <f>IF(Инвентаризация!C478="","",Инвентаризация!P478)</f>
        <v/>
      </c>
      <c r="P478" s="8" t="str">
        <f>IF(Инвентаризация!C478="","",Инвентаризация!Q478)</f>
        <v/>
      </c>
    </row>
    <row r="479" spans="1:16">
      <c r="A479" s="10" t="str">
        <f>IF(Инвентаризация!C479="","",Инвентаризация!B479)</f>
        <v/>
      </c>
      <c r="B479" s="10" t="str">
        <f>IF(Инвентаризация!C479="","",Инвентаризация!C479)</f>
        <v/>
      </c>
      <c r="C479" s="5" t="str">
        <f>IF(Инвентаризация!C479="","",Инвентаризация!D479)</f>
        <v/>
      </c>
      <c r="D479" s="11" t="str">
        <f>IF(Инвентаризация!C479="","",Инвентаризация!E479)</f>
        <v/>
      </c>
      <c r="E479" s="12" t="str">
        <f>IF(Инвентаризация!C479="","",Инвентаризация!F479)</f>
        <v/>
      </c>
      <c r="F479" s="12" t="str">
        <f>IF(Инвентаризация!C479="","",Инвентаризация!G479)</f>
        <v/>
      </c>
      <c r="G479" s="12" t="str">
        <f t="shared" si="35"/>
        <v/>
      </c>
      <c r="H479" s="13" t="str">
        <f t="shared" si="36"/>
        <v/>
      </c>
      <c r="I479" s="12" t="str">
        <f t="shared" si="37"/>
        <v/>
      </c>
      <c r="J479" s="12" t="str">
        <f t="shared" si="38"/>
        <v/>
      </c>
      <c r="K479" s="12" t="str">
        <f t="shared" si="39"/>
        <v/>
      </c>
      <c r="L479" s="10" t="str">
        <f>IF(Инвентаризация!C479="","",Инвентаризация!M479)</f>
        <v/>
      </c>
      <c r="M479" s="10" t="str">
        <f>IF(Инвентаризация!C479="","",Инвентаризация!N479)</f>
        <v/>
      </c>
      <c r="N479" s="10" t="str">
        <f>IF(Инвентаризация!C479="","",Инвентаризация!O479)</f>
        <v/>
      </c>
      <c r="O479" s="10" t="str">
        <f>IF(Инвентаризация!C479="","",Инвентаризация!P479)</f>
        <v/>
      </c>
      <c r="P479" s="8" t="str">
        <f>IF(Инвентаризация!C479="","",Инвентаризация!Q479)</f>
        <v/>
      </c>
    </row>
    <row r="480" spans="1:16">
      <c r="A480" s="10" t="str">
        <f>IF(Инвентаризация!C480="","",Инвентаризация!B480)</f>
        <v/>
      </c>
      <c r="B480" s="10" t="str">
        <f>IF(Инвентаризация!C480="","",Инвентаризация!C480)</f>
        <v/>
      </c>
      <c r="C480" s="5" t="str">
        <f>IF(Инвентаризация!C480="","",Инвентаризация!D480)</f>
        <v/>
      </c>
      <c r="D480" s="11" t="str">
        <f>IF(Инвентаризация!C480="","",Инвентаризация!E480)</f>
        <v/>
      </c>
      <c r="E480" s="12" t="str">
        <f>IF(Инвентаризация!C480="","",Инвентаризация!F480)</f>
        <v/>
      </c>
      <c r="F480" s="12" t="str">
        <f>IF(Инвентаризация!C480="","",Инвентаризация!G480)</f>
        <v/>
      </c>
      <c r="G480" s="12" t="str">
        <f t="shared" si="35"/>
        <v/>
      </c>
      <c r="H480" s="13" t="str">
        <f t="shared" si="36"/>
        <v/>
      </c>
      <c r="I480" s="12" t="str">
        <f t="shared" si="37"/>
        <v/>
      </c>
      <c r="J480" s="12" t="str">
        <f t="shared" si="38"/>
        <v/>
      </c>
      <c r="K480" s="12" t="str">
        <f t="shared" si="39"/>
        <v/>
      </c>
      <c r="L480" s="10" t="str">
        <f>IF(Инвентаризация!C480="","",Инвентаризация!M480)</f>
        <v/>
      </c>
      <c r="M480" s="10" t="str">
        <f>IF(Инвентаризация!C480="","",Инвентаризация!N480)</f>
        <v/>
      </c>
      <c r="N480" s="10" t="str">
        <f>IF(Инвентаризация!C480="","",Инвентаризация!O480)</f>
        <v/>
      </c>
      <c r="O480" s="10" t="str">
        <f>IF(Инвентаризация!C480="","",Инвентаризация!P480)</f>
        <v/>
      </c>
      <c r="P480" s="8" t="str">
        <f>IF(Инвентаризация!C480="","",Инвентаризация!Q480)</f>
        <v/>
      </c>
    </row>
    <row r="481" spans="1:16">
      <c r="A481" s="10" t="str">
        <f>IF(Инвентаризация!C481="","",Инвентаризация!B481)</f>
        <v/>
      </c>
      <c r="B481" s="10" t="str">
        <f>IF(Инвентаризация!C481="","",Инвентаризация!C481)</f>
        <v/>
      </c>
      <c r="C481" s="5" t="str">
        <f>IF(Инвентаризация!C481="","",Инвентаризация!D481)</f>
        <v/>
      </c>
      <c r="D481" s="11" t="str">
        <f>IF(Инвентаризация!C481="","",Инвентаризация!E481)</f>
        <v/>
      </c>
      <c r="E481" s="12" t="str">
        <f>IF(Инвентаризация!C481="","",Инвентаризация!F481)</f>
        <v/>
      </c>
      <c r="F481" s="12" t="str">
        <f>IF(Инвентаризация!C481="","",Инвентаризация!G481)</f>
        <v/>
      </c>
      <c r="G481" s="12" t="str">
        <f t="shared" si="35"/>
        <v/>
      </c>
      <c r="H481" s="13" t="str">
        <f t="shared" si="36"/>
        <v/>
      </c>
      <c r="I481" s="12" t="str">
        <f t="shared" si="37"/>
        <v/>
      </c>
      <c r="J481" s="12" t="str">
        <f t="shared" si="38"/>
        <v/>
      </c>
      <c r="K481" s="12" t="str">
        <f t="shared" si="39"/>
        <v/>
      </c>
      <c r="L481" s="10" t="str">
        <f>IF(Инвентаризация!C481="","",Инвентаризация!M481)</f>
        <v/>
      </c>
      <c r="M481" s="10" t="str">
        <f>IF(Инвентаризация!C481="","",Инвентаризация!N481)</f>
        <v/>
      </c>
      <c r="N481" s="10" t="str">
        <f>IF(Инвентаризация!C481="","",Инвентаризация!O481)</f>
        <v/>
      </c>
      <c r="O481" s="10" t="str">
        <f>IF(Инвентаризация!C481="","",Инвентаризация!P481)</f>
        <v/>
      </c>
      <c r="P481" s="8" t="str">
        <f>IF(Инвентаризация!C481="","",Инвентаризация!Q481)</f>
        <v/>
      </c>
    </row>
    <row r="482" spans="1:16">
      <c r="A482" s="10" t="str">
        <f>IF(Инвентаризация!C482="","",Инвентаризация!B482)</f>
        <v/>
      </c>
      <c r="B482" s="10" t="str">
        <f>IF(Инвентаризация!C482="","",Инвентаризация!C482)</f>
        <v/>
      </c>
      <c r="C482" s="5" t="str">
        <f>IF(Инвентаризация!C482="","",Инвентаризация!D482)</f>
        <v/>
      </c>
      <c r="D482" s="11" t="str">
        <f>IF(Инвентаризация!C482="","",Инвентаризация!E482)</f>
        <v/>
      </c>
      <c r="E482" s="12" t="str">
        <f>IF(Инвентаризация!C482="","",Инвентаризация!F482)</f>
        <v/>
      </c>
      <c r="F482" s="12" t="str">
        <f>IF(Инвентаризация!C482="","",Инвентаризация!G482)</f>
        <v/>
      </c>
      <c r="G482" s="12" t="str">
        <f t="shared" si="35"/>
        <v/>
      </c>
      <c r="H482" s="13" t="str">
        <f t="shared" si="36"/>
        <v/>
      </c>
      <c r="I482" s="12" t="str">
        <f t="shared" si="37"/>
        <v/>
      </c>
      <c r="J482" s="12" t="str">
        <f t="shared" si="38"/>
        <v/>
      </c>
      <c r="K482" s="12" t="str">
        <f t="shared" si="39"/>
        <v/>
      </c>
      <c r="L482" s="10" t="str">
        <f>IF(Инвентаризация!C482="","",Инвентаризация!M482)</f>
        <v/>
      </c>
      <c r="M482" s="10" t="str">
        <f>IF(Инвентаризация!C482="","",Инвентаризация!N482)</f>
        <v/>
      </c>
      <c r="N482" s="10" t="str">
        <f>IF(Инвентаризация!C482="","",Инвентаризация!O482)</f>
        <v/>
      </c>
      <c r="O482" s="10" t="str">
        <f>IF(Инвентаризация!C482="","",Инвентаризация!P482)</f>
        <v/>
      </c>
      <c r="P482" s="8" t="str">
        <f>IF(Инвентаризация!C482="","",Инвентаризация!Q482)</f>
        <v/>
      </c>
    </row>
    <row r="483" spans="1:16">
      <c r="A483" s="10" t="str">
        <f>IF(Инвентаризация!C483="","",Инвентаризация!B483)</f>
        <v/>
      </c>
      <c r="B483" s="10" t="str">
        <f>IF(Инвентаризация!C483="","",Инвентаризация!C483)</f>
        <v/>
      </c>
      <c r="C483" s="5" t="str">
        <f>IF(Инвентаризация!C483="","",Инвентаризация!D483)</f>
        <v/>
      </c>
      <c r="D483" s="11" t="str">
        <f>IF(Инвентаризация!C483="","",Инвентаризация!E483)</f>
        <v/>
      </c>
      <c r="E483" s="12" t="str">
        <f>IF(Инвентаризация!C483="","",Инвентаризация!F483)</f>
        <v/>
      </c>
      <c r="F483" s="12" t="str">
        <f>IF(Инвентаризация!C483="","",Инвентаризация!G483)</f>
        <v/>
      </c>
      <c r="G483" s="12" t="str">
        <f t="shared" si="35"/>
        <v/>
      </c>
      <c r="H483" s="13" t="str">
        <f t="shared" si="36"/>
        <v/>
      </c>
      <c r="I483" s="12" t="str">
        <f t="shared" si="37"/>
        <v/>
      </c>
      <c r="J483" s="12" t="str">
        <f t="shared" si="38"/>
        <v/>
      </c>
      <c r="K483" s="12" t="str">
        <f t="shared" si="39"/>
        <v/>
      </c>
      <c r="L483" s="10" t="str">
        <f>IF(Инвентаризация!C483="","",Инвентаризация!M483)</f>
        <v/>
      </c>
      <c r="M483" s="10" t="str">
        <f>IF(Инвентаризация!C483="","",Инвентаризация!N483)</f>
        <v/>
      </c>
      <c r="N483" s="10" t="str">
        <f>IF(Инвентаризация!C483="","",Инвентаризация!O483)</f>
        <v/>
      </c>
      <c r="O483" s="10" t="str">
        <f>IF(Инвентаризация!C483="","",Инвентаризация!P483)</f>
        <v/>
      </c>
      <c r="P483" s="8" t="str">
        <f>IF(Инвентаризация!C483="","",Инвентаризация!Q483)</f>
        <v/>
      </c>
    </row>
    <row r="484" spans="1:16">
      <c r="A484" s="10" t="str">
        <f>IF(Инвентаризация!C484="","",Инвентаризация!B484)</f>
        <v/>
      </c>
      <c r="B484" s="10" t="str">
        <f>IF(Инвентаризация!C484="","",Инвентаризация!C484)</f>
        <v/>
      </c>
      <c r="C484" s="5" t="str">
        <f>IF(Инвентаризация!C484="","",Инвентаризация!D484)</f>
        <v/>
      </c>
      <c r="D484" s="11" t="str">
        <f>IF(Инвентаризация!C484="","",Инвентаризация!E484)</f>
        <v/>
      </c>
      <c r="E484" s="12" t="str">
        <f>IF(Инвентаризация!C484="","",Инвентаризация!F484)</f>
        <v/>
      </c>
      <c r="F484" s="12" t="str">
        <f>IF(Инвентаризация!C484="","",Инвентаризация!G484)</f>
        <v/>
      </c>
      <c r="G484" s="12" t="str">
        <f t="shared" si="35"/>
        <v/>
      </c>
      <c r="H484" s="13" t="str">
        <f t="shared" si="36"/>
        <v/>
      </c>
      <c r="I484" s="12" t="str">
        <f t="shared" si="37"/>
        <v/>
      </c>
      <c r="J484" s="12" t="str">
        <f t="shared" si="38"/>
        <v/>
      </c>
      <c r="K484" s="12" t="str">
        <f t="shared" si="39"/>
        <v/>
      </c>
      <c r="L484" s="10" t="str">
        <f>IF(Инвентаризация!C484="","",Инвентаризация!M484)</f>
        <v/>
      </c>
      <c r="M484" s="10" t="str">
        <f>IF(Инвентаризация!C484="","",Инвентаризация!N484)</f>
        <v/>
      </c>
      <c r="N484" s="10" t="str">
        <f>IF(Инвентаризация!C484="","",Инвентаризация!O484)</f>
        <v/>
      </c>
      <c r="O484" s="10" t="str">
        <f>IF(Инвентаризация!C484="","",Инвентаризация!P484)</f>
        <v/>
      </c>
      <c r="P484" s="8" t="str">
        <f>IF(Инвентаризация!C484="","",Инвентаризация!Q484)</f>
        <v/>
      </c>
    </row>
    <row r="485" spans="1:16">
      <c r="A485" s="10" t="str">
        <f>IF(Инвентаризация!C485="","",Инвентаризация!B485)</f>
        <v/>
      </c>
      <c r="B485" s="10" t="str">
        <f>IF(Инвентаризация!C485="","",Инвентаризация!C485)</f>
        <v/>
      </c>
      <c r="C485" s="5" t="str">
        <f>IF(Инвентаризация!C485="","",Инвентаризация!D485)</f>
        <v/>
      </c>
      <c r="D485" s="11" t="str">
        <f>IF(Инвентаризация!C485="","",Инвентаризация!E485)</f>
        <v/>
      </c>
      <c r="E485" s="12" t="str">
        <f>IF(Инвентаризация!C485="","",Инвентаризация!F485)</f>
        <v/>
      </c>
      <c r="F485" s="12" t="str">
        <f>IF(Инвентаризация!C485="","",Инвентаризация!G485)</f>
        <v/>
      </c>
      <c r="G485" s="12" t="str">
        <f t="shared" si="35"/>
        <v/>
      </c>
      <c r="H485" s="13" t="str">
        <f t="shared" si="36"/>
        <v/>
      </c>
      <c r="I485" s="12" t="str">
        <f t="shared" si="37"/>
        <v/>
      </c>
      <c r="J485" s="12" t="str">
        <f t="shared" si="38"/>
        <v/>
      </c>
      <c r="K485" s="12" t="str">
        <f t="shared" si="39"/>
        <v/>
      </c>
      <c r="L485" s="10" t="str">
        <f>IF(Инвентаризация!C485="","",Инвентаризация!M485)</f>
        <v/>
      </c>
      <c r="M485" s="10" t="str">
        <f>IF(Инвентаризация!C485="","",Инвентаризация!N485)</f>
        <v/>
      </c>
      <c r="N485" s="10" t="str">
        <f>IF(Инвентаризация!C485="","",Инвентаризация!O485)</f>
        <v/>
      </c>
      <c r="O485" s="10" t="str">
        <f>IF(Инвентаризация!C485="","",Инвентаризация!P485)</f>
        <v/>
      </c>
      <c r="P485" s="8" t="str">
        <f>IF(Инвентаризация!C485="","",Инвентаризация!Q485)</f>
        <v/>
      </c>
    </row>
    <row r="486" spans="1:16">
      <c r="A486" s="10" t="str">
        <f>IF(Инвентаризация!C486="","",Инвентаризация!B486)</f>
        <v/>
      </c>
      <c r="B486" s="10" t="str">
        <f>IF(Инвентаризация!C486="","",Инвентаризация!C486)</f>
        <v/>
      </c>
      <c r="C486" s="5" t="str">
        <f>IF(Инвентаризация!C486="","",Инвентаризация!D486)</f>
        <v/>
      </c>
      <c r="D486" s="11" t="str">
        <f>IF(Инвентаризация!C486="","",Инвентаризация!E486)</f>
        <v/>
      </c>
      <c r="E486" s="12" t="str">
        <f>IF(Инвентаризация!C486="","",Инвентаризация!F486)</f>
        <v/>
      </c>
      <c r="F486" s="12" t="str">
        <f>IF(Инвентаризация!C486="","",Инвентаризация!G486)</f>
        <v/>
      </c>
      <c r="G486" s="12" t="str">
        <f t="shared" si="35"/>
        <v/>
      </c>
      <c r="H486" s="13" t="str">
        <f t="shared" si="36"/>
        <v/>
      </c>
      <c r="I486" s="12" t="str">
        <f t="shared" si="37"/>
        <v/>
      </c>
      <c r="J486" s="12" t="str">
        <f t="shared" si="38"/>
        <v/>
      </c>
      <c r="K486" s="12" t="str">
        <f t="shared" si="39"/>
        <v/>
      </c>
      <c r="L486" s="10" t="str">
        <f>IF(Инвентаризация!C486="","",Инвентаризация!M486)</f>
        <v/>
      </c>
      <c r="M486" s="10" t="str">
        <f>IF(Инвентаризация!C486="","",Инвентаризация!N486)</f>
        <v/>
      </c>
      <c r="N486" s="10" t="str">
        <f>IF(Инвентаризация!C486="","",Инвентаризация!O486)</f>
        <v/>
      </c>
      <c r="O486" s="10" t="str">
        <f>IF(Инвентаризация!C486="","",Инвентаризация!P486)</f>
        <v/>
      </c>
      <c r="P486" s="8" t="str">
        <f>IF(Инвентаризация!C486="","",Инвентаризация!Q486)</f>
        <v/>
      </c>
    </row>
    <row r="487" spans="1:16">
      <c r="A487" s="10" t="str">
        <f>IF(Инвентаризация!C487="","",Инвентаризация!B487)</f>
        <v/>
      </c>
      <c r="B487" s="10" t="str">
        <f>IF(Инвентаризация!C487="","",Инвентаризация!C487)</f>
        <v/>
      </c>
      <c r="C487" s="5" t="str">
        <f>IF(Инвентаризация!C487="","",Инвентаризация!D487)</f>
        <v/>
      </c>
      <c r="D487" s="11" t="str">
        <f>IF(Инвентаризация!C487="","",Инвентаризация!E487)</f>
        <v/>
      </c>
      <c r="E487" s="12" t="str">
        <f>IF(Инвентаризация!C487="","",Инвентаризация!F487)</f>
        <v/>
      </c>
      <c r="F487" s="12" t="str">
        <f>IF(Инвентаризация!C487="","",Инвентаризация!G487)</f>
        <v/>
      </c>
      <c r="G487" s="12" t="str">
        <f t="shared" si="35"/>
        <v/>
      </c>
      <c r="H487" s="13" t="str">
        <f t="shared" si="36"/>
        <v/>
      </c>
      <c r="I487" s="12" t="str">
        <f t="shared" si="37"/>
        <v/>
      </c>
      <c r="J487" s="12" t="str">
        <f t="shared" si="38"/>
        <v/>
      </c>
      <c r="K487" s="12" t="str">
        <f t="shared" si="39"/>
        <v/>
      </c>
      <c r="L487" s="10" t="str">
        <f>IF(Инвентаризация!C487="","",Инвентаризация!M487)</f>
        <v/>
      </c>
      <c r="M487" s="10" t="str">
        <f>IF(Инвентаризация!C487="","",Инвентаризация!N487)</f>
        <v/>
      </c>
      <c r="N487" s="10" t="str">
        <f>IF(Инвентаризация!C487="","",Инвентаризация!O487)</f>
        <v/>
      </c>
      <c r="O487" s="10" t="str">
        <f>IF(Инвентаризация!C487="","",Инвентаризация!P487)</f>
        <v/>
      </c>
      <c r="P487" s="8" t="str">
        <f>IF(Инвентаризация!C487="","",Инвентаризация!Q487)</f>
        <v/>
      </c>
    </row>
    <row r="488" spans="1:16">
      <c r="A488" s="10" t="str">
        <f>IF(Инвентаризация!C488="","",Инвентаризация!B488)</f>
        <v/>
      </c>
      <c r="B488" s="10" t="str">
        <f>IF(Инвентаризация!C488="","",Инвентаризация!C488)</f>
        <v/>
      </c>
      <c r="C488" s="5" t="str">
        <f>IF(Инвентаризация!C488="","",Инвентаризация!D488)</f>
        <v/>
      </c>
      <c r="D488" s="11" t="str">
        <f>IF(Инвентаризация!C488="","",Инвентаризация!E488)</f>
        <v/>
      </c>
      <c r="E488" s="12" t="str">
        <f>IF(Инвентаризация!C488="","",Инвентаризация!F488)</f>
        <v/>
      </c>
      <c r="F488" s="12" t="str">
        <f>IF(Инвентаризация!C488="","",Инвентаризация!G488)</f>
        <v/>
      </c>
      <c r="G488" s="12" t="str">
        <f t="shared" si="35"/>
        <v/>
      </c>
      <c r="H488" s="13" t="str">
        <f t="shared" si="36"/>
        <v/>
      </c>
      <c r="I488" s="12" t="str">
        <f t="shared" si="37"/>
        <v/>
      </c>
      <c r="J488" s="12" t="str">
        <f t="shared" si="38"/>
        <v/>
      </c>
      <c r="K488" s="12" t="str">
        <f t="shared" si="39"/>
        <v/>
      </c>
      <c r="L488" s="10" t="str">
        <f>IF(Инвентаризация!C488="","",Инвентаризация!M488)</f>
        <v/>
      </c>
      <c r="M488" s="10" t="str">
        <f>IF(Инвентаризация!C488="","",Инвентаризация!N488)</f>
        <v/>
      </c>
      <c r="N488" s="10" t="str">
        <f>IF(Инвентаризация!C488="","",Инвентаризация!O488)</f>
        <v/>
      </c>
      <c r="O488" s="10" t="str">
        <f>IF(Инвентаризация!C488="","",Инвентаризация!P488)</f>
        <v/>
      </c>
      <c r="P488" s="8" t="str">
        <f>IF(Инвентаризация!C488="","",Инвентаризация!Q488)</f>
        <v/>
      </c>
    </row>
    <row r="489" spans="1:16">
      <c r="A489" s="10" t="str">
        <f>IF(Инвентаризация!C489="","",Инвентаризация!B489)</f>
        <v/>
      </c>
      <c r="B489" s="10" t="str">
        <f>IF(Инвентаризация!C489="","",Инвентаризация!C489)</f>
        <v/>
      </c>
      <c r="C489" s="5" t="str">
        <f>IF(Инвентаризация!C489="","",Инвентаризация!D489)</f>
        <v/>
      </c>
      <c r="D489" s="11" t="str">
        <f>IF(Инвентаризация!C489="","",Инвентаризация!E489)</f>
        <v/>
      </c>
      <c r="E489" s="12" t="str">
        <f>IF(Инвентаризация!C489="","",Инвентаризация!F489)</f>
        <v/>
      </c>
      <c r="F489" s="12" t="str">
        <f>IF(Инвентаризация!C489="","",Инвентаризация!G489)</f>
        <v/>
      </c>
      <c r="G489" s="12" t="str">
        <f t="shared" si="35"/>
        <v/>
      </c>
      <c r="H489" s="13" t="str">
        <f t="shared" si="36"/>
        <v/>
      </c>
      <c r="I489" s="12" t="str">
        <f t="shared" si="37"/>
        <v/>
      </c>
      <c r="J489" s="12" t="str">
        <f t="shared" si="38"/>
        <v/>
      </c>
      <c r="K489" s="12" t="str">
        <f t="shared" si="39"/>
        <v/>
      </c>
      <c r="L489" s="10" t="str">
        <f>IF(Инвентаризация!C489="","",Инвентаризация!M489)</f>
        <v/>
      </c>
      <c r="M489" s="10" t="str">
        <f>IF(Инвентаризация!C489="","",Инвентаризация!N489)</f>
        <v/>
      </c>
      <c r="N489" s="10" t="str">
        <f>IF(Инвентаризация!C489="","",Инвентаризация!O489)</f>
        <v/>
      </c>
      <c r="O489" s="10" t="str">
        <f>IF(Инвентаризация!C489="","",Инвентаризация!P489)</f>
        <v/>
      </c>
      <c r="P489" s="8" t="str">
        <f>IF(Инвентаризация!C489="","",Инвентаризация!Q489)</f>
        <v/>
      </c>
    </row>
    <row r="490" spans="1:16">
      <c r="A490" s="10" t="str">
        <f>IF(Инвентаризация!C490="","",Инвентаризация!B490)</f>
        <v/>
      </c>
      <c r="B490" s="10" t="str">
        <f>IF(Инвентаризация!C490="","",Инвентаризация!C490)</f>
        <v/>
      </c>
      <c r="C490" s="5" t="str">
        <f>IF(Инвентаризация!C490="","",Инвентаризация!D490)</f>
        <v/>
      </c>
      <c r="D490" s="11" t="str">
        <f>IF(Инвентаризация!C490="","",Инвентаризация!E490)</f>
        <v/>
      </c>
      <c r="E490" s="12" t="str">
        <f>IF(Инвентаризация!C490="","",Инвентаризация!F490)</f>
        <v/>
      </c>
      <c r="F490" s="12" t="str">
        <f>IF(Инвентаризация!C490="","",Инвентаризация!G490)</f>
        <v/>
      </c>
      <c r="G490" s="12" t="str">
        <f t="shared" si="35"/>
        <v/>
      </c>
      <c r="H490" s="13" t="str">
        <f t="shared" si="36"/>
        <v/>
      </c>
      <c r="I490" s="12" t="str">
        <f t="shared" si="37"/>
        <v/>
      </c>
      <c r="J490" s="12" t="str">
        <f t="shared" si="38"/>
        <v/>
      </c>
      <c r="K490" s="12" t="str">
        <f t="shared" si="39"/>
        <v/>
      </c>
      <c r="L490" s="10" t="str">
        <f>IF(Инвентаризация!C490="","",Инвентаризация!M490)</f>
        <v/>
      </c>
      <c r="M490" s="10" t="str">
        <f>IF(Инвентаризация!C490="","",Инвентаризация!N490)</f>
        <v/>
      </c>
      <c r="N490" s="10" t="str">
        <f>IF(Инвентаризация!C490="","",Инвентаризация!O490)</f>
        <v/>
      </c>
      <c r="O490" s="10" t="str">
        <f>IF(Инвентаризация!C490="","",Инвентаризация!P490)</f>
        <v/>
      </c>
      <c r="P490" s="8" t="str">
        <f>IF(Инвентаризация!C490="","",Инвентаризация!Q490)</f>
        <v/>
      </c>
    </row>
    <row r="491" spans="1:16">
      <c r="A491" s="10" t="str">
        <f>IF(Инвентаризация!C491="","",Инвентаризация!B491)</f>
        <v/>
      </c>
      <c r="B491" s="10" t="str">
        <f>IF(Инвентаризация!C491="","",Инвентаризация!C491)</f>
        <v/>
      </c>
      <c r="C491" s="5" t="str">
        <f>IF(Инвентаризация!C491="","",Инвентаризация!D491)</f>
        <v/>
      </c>
      <c r="D491" s="11" t="str">
        <f>IF(Инвентаризация!C491="","",Инвентаризация!E491)</f>
        <v/>
      </c>
      <c r="E491" s="12" t="str">
        <f>IF(Инвентаризация!C491="","",Инвентаризация!F491)</f>
        <v/>
      </c>
      <c r="F491" s="12" t="str">
        <f>IF(Инвентаризация!C491="","",Инвентаризация!G491)</f>
        <v/>
      </c>
      <c r="G491" s="12" t="str">
        <f t="shared" si="35"/>
        <v/>
      </c>
      <c r="H491" s="13" t="str">
        <f t="shared" si="36"/>
        <v/>
      </c>
      <c r="I491" s="12" t="str">
        <f t="shared" si="37"/>
        <v/>
      </c>
      <c r="J491" s="12" t="str">
        <f t="shared" si="38"/>
        <v/>
      </c>
      <c r="K491" s="12" t="str">
        <f t="shared" si="39"/>
        <v/>
      </c>
      <c r="L491" s="10" t="str">
        <f>IF(Инвентаризация!C491="","",Инвентаризация!M491)</f>
        <v/>
      </c>
      <c r="M491" s="10" t="str">
        <f>IF(Инвентаризация!C491="","",Инвентаризация!N491)</f>
        <v/>
      </c>
      <c r="N491" s="10" t="str">
        <f>IF(Инвентаризация!C491="","",Инвентаризация!O491)</f>
        <v/>
      </c>
      <c r="O491" s="10" t="str">
        <f>IF(Инвентаризация!C491="","",Инвентаризация!P491)</f>
        <v/>
      </c>
      <c r="P491" s="8" t="str">
        <f>IF(Инвентаризация!C491="","",Инвентаризация!Q491)</f>
        <v/>
      </c>
    </row>
    <row r="492" spans="1:16">
      <c r="A492" s="10" t="str">
        <f>IF(Инвентаризация!C492="","",Инвентаризация!B492)</f>
        <v/>
      </c>
      <c r="B492" s="10" t="str">
        <f>IF(Инвентаризация!C492="","",Инвентаризация!C492)</f>
        <v/>
      </c>
      <c r="C492" s="5" t="str">
        <f>IF(Инвентаризация!C492="","",Инвентаризация!D492)</f>
        <v/>
      </c>
      <c r="D492" s="11" t="str">
        <f>IF(Инвентаризация!C492="","",Инвентаризация!E492)</f>
        <v/>
      </c>
      <c r="E492" s="12" t="str">
        <f>IF(Инвентаризация!C492="","",Инвентаризация!F492)</f>
        <v/>
      </c>
      <c r="F492" s="12" t="str">
        <f>IF(Инвентаризация!C492="","",Инвентаризация!G492)</f>
        <v/>
      </c>
      <c r="G492" s="12" t="str">
        <f t="shared" si="35"/>
        <v/>
      </c>
      <c r="H492" s="13" t="str">
        <f t="shared" si="36"/>
        <v/>
      </c>
      <c r="I492" s="12" t="str">
        <f t="shared" si="37"/>
        <v/>
      </c>
      <c r="J492" s="12" t="str">
        <f t="shared" si="38"/>
        <v/>
      </c>
      <c r="K492" s="12" t="str">
        <f t="shared" si="39"/>
        <v/>
      </c>
      <c r="L492" s="10" t="str">
        <f>IF(Инвентаризация!C492="","",Инвентаризация!M492)</f>
        <v/>
      </c>
      <c r="M492" s="10" t="str">
        <f>IF(Инвентаризация!C492="","",Инвентаризация!N492)</f>
        <v/>
      </c>
      <c r="N492" s="10" t="str">
        <f>IF(Инвентаризация!C492="","",Инвентаризация!O492)</f>
        <v/>
      </c>
      <c r="O492" s="10" t="str">
        <f>IF(Инвентаризация!C492="","",Инвентаризация!P492)</f>
        <v/>
      </c>
      <c r="P492" s="8" t="str">
        <f>IF(Инвентаризация!C492="","",Инвентаризация!Q492)</f>
        <v/>
      </c>
    </row>
    <row r="493" spans="1:16">
      <c r="A493" s="10" t="str">
        <f>IF(Инвентаризация!C493="","",Инвентаризация!B493)</f>
        <v/>
      </c>
      <c r="B493" s="10" t="str">
        <f>IF(Инвентаризация!C493="","",Инвентаризация!C493)</f>
        <v/>
      </c>
      <c r="C493" s="5" t="str">
        <f>IF(Инвентаризация!C493="","",Инвентаризация!D493)</f>
        <v/>
      </c>
      <c r="D493" s="11" t="str">
        <f>IF(Инвентаризация!C493="","",Инвентаризация!E493)</f>
        <v/>
      </c>
      <c r="E493" s="12" t="str">
        <f>IF(Инвентаризация!C493="","",Инвентаризация!F493)</f>
        <v/>
      </c>
      <c r="F493" s="12" t="str">
        <f>IF(Инвентаризация!C493="","",Инвентаризация!G493)</f>
        <v/>
      </c>
      <c r="G493" s="12" t="str">
        <f t="shared" si="35"/>
        <v/>
      </c>
      <c r="H493" s="13" t="str">
        <f t="shared" si="36"/>
        <v/>
      </c>
      <c r="I493" s="12" t="str">
        <f t="shared" si="37"/>
        <v/>
      </c>
      <c r="J493" s="12" t="str">
        <f t="shared" si="38"/>
        <v/>
      </c>
      <c r="K493" s="12" t="str">
        <f t="shared" si="39"/>
        <v/>
      </c>
      <c r="L493" s="10" t="str">
        <f>IF(Инвентаризация!C493="","",Инвентаризация!M493)</f>
        <v/>
      </c>
      <c r="M493" s="10" t="str">
        <f>IF(Инвентаризация!C493="","",Инвентаризация!N493)</f>
        <v/>
      </c>
      <c r="N493" s="10" t="str">
        <f>IF(Инвентаризация!C493="","",Инвентаризация!O493)</f>
        <v/>
      </c>
      <c r="O493" s="10" t="str">
        <f>IF(Инвентаризация!C493="","",Инвентаризация!P493)</f>
        <v/>
      </c>
      <c r="P493" s="8" t="str">
        <f>IF(Инвентаризация!C493="","",Инвентаризация!Q493)</f>
        <v/>
      </c>
    </row>
    <row r="494" spans="1:16">
      <c r="A494" s="10" t="str">
        <f>IF(Инвентаризация!C494="","",Инвентаризация!B494)</f>
        <v/>
      </c>
      <c r="B494" s="10" t="str">
        <f>IF(Инвентаризация!C494="","",Инвентаризация!C494)</f>
        <v/>
      </c>
      <c r="C494" s="5" t="str">
        <f>IF(Инвентаризация!C494="","",Инвентаризация!D494)</f>
        <v/>
      </c>
      <c r="D494" s="11" t="str">
        <f>IF(Инвентаризация!C494="","",Инвентаризация!E494)</f>
        <v/>
      </c>
      <c r="E494" s="12" t="str">
        <f>IF(Инвентаризация!C494="","",Инвентаризация!F494)</f>
        <v/>
      </c>
      <c r="F494" s="12" t="str">
        <f>IF(Инвентаризация!C494="","",Инвентаризация!G494)</f>
        <v/>
      </c>
      <c r="G494" s="12" t="str">
        <f t="shared" si="35"/>
        <v/>
      </c>
      <c r="H494" s="13" t="str">
        <f t="shared" si="36"/>
        <v/>
      </c>
      <c r="I494" s="12" t="str">
        <f t="shared" si="37"/>
        <v/>
      </c>
      <c r="J494" s="12" t="str">
        <f t="shared" si="38"/>
        <v/>
      </c>
      <c r="K494" s="12" t="str">
        <f t="shared" si="39"/>
        <v/>
      </c>
      <c r="L494" s="10" t="str">
        <f>IF(Инвентаризация!C494="","",Инвентаризация!M494)</f>
        <v/>
      </c>
      <c r="M494" s="10" t="str">
        <f>IF(Инвентаризация!C494="","",Инвентаризация!N494)</f>
        <v/>
      </c>
      <c r="N494" s="10" t="str">
        <f>IF(Инвентаризация!C494="","",Инвентаризация!O494)</f>
        <v/>
      </c>
      <c r="O494" s="10" t="str">
        <f>IF(Инвентаризация!C494="","",Инвентаризация!P494)</f>
        <v/>
      </c>
      <c r="P494" s="8" t="str">
        <f>IF(Инвентаризация!C494="","",Инвентаризация!Q494)</f>
        <v/>
      </c>
    </row>
    <row r="495" spans="1:16">
      <c r="A495" s="10" t="str">
        <f>IF(Инвентаризация!C495="","",Инвентаризация!B495)</f>
        <v/>
      </c>
      <c r="B495" s="10" t="str">
        <f>IF(Инвентаризация!C495="","",Инвентаризация!C495)</f>
        <v/>
      </c>
      <c r="C495" s="5" t="str">
        <f>IF(Инвентаризация!C495="","",Инвентаризация!D495)</f>
        <v/>
      </c>
      <c r="D495" s="11" t="str">
        <f>IF(Инвентаризация!C495="","",Инвентаризация!E495)</f>
        <v/>
      </c>
      <c r="E495" s="12" t="str">
        <f>IF(Инвентаризация!C495="","",Инвентаризация!F495)</f>
        <v/>
      </c>
      <c r="F495" s="12" t="str">
        <f>IF(Инвентаризация!C495="","",Инвентаризация!G495)</f>
        <v/>
      </c>
      <c r="G495" s="12" t="str">
        <f t="shared" si="35"/>
        <v/>
      </c>
      <c r="H495" s="13" t="str">
        <f t="shared" si="36"/>
        <v/>
      </c>
      <c r="I495" s="12" t="str">
        <f t="shared" si="37"/>
        <v/>
      </c>
      <c r="J495" s="12" t="str">
        <f t="shared" si="38"/>
        <v/>
      </c>
      <c r="K495" s="12" t="str">
        <f t="shared" si="39"/>
        <v/>
      </c>
      <c r="L495" s="10" t="str">
        <f>IF(Инвентаризация!C495="","",Инвентаризация!M495)</f>
        <v/>
      </c>
      <c r="M495" s="10" t="str">
        <f>IF(Инвентаризация!C495="","",Инвентаризация!N495)</f>
        <v/>
      </c>
      <c r="N495" s="10" t="str">
        <f>IF(Инвентаризация!C495="","",Инвентаризация!O495)</f>
        <v/>
      </c>
      <c r="O495" s="10" t="str">
        <f>IF(Инвентаризация!C495="","",Инвентаризация!P495)</f>
        <v/>
      </c>
      <c r="P495" s="8" t="str">
        <f>IF(Инвентаризация!C495="","",Инвентаризация!Q495)</f>
        <v/>
      </c>
    </row>
    <row r="496" spans="1:16">
      <c r="A496" s="10" t="str">
        <f>IF(Инвентаризация!C496="","",Инвентаризация!B496)</f>
        <v/>
      </c>
      <c r="B496" s="10" t="str">
        <f>IF(Инвентаризация!C496="","",Инвентаризация!C496)</f>
        <v/>
      </c>
      <c r="C496" s="5" t="str">
        <f>IF(Инвентаризация!C496="","",Инвентаризация!D496)</f>
        <v/>
      </c>
      <c r="D496" s="11" t="str">
        <f>IF(Инвентаризация!C496="","",Инвентаризация!E496)</f>
        <v/>
      </c>
      <c r="E496" s="12" t="str">
        <f>IF(Инвентаризация!C496="","",Инвентаризация!F496)</f>
        <v/>
      </c>
      <c r="F496" s="12" t="str">
        <f>IF(Инвентаризация!C496="","",Инвентаризация!G496)</f>
        <v/>
      </c>
      <c r="G496" s="12" t="str">
        <f t="shared" si="35"/>
        <v/>
      </c>
      <c r="H496" s="13" t="str">
        <f t="shared" si="36"/>
        <v/>
      </c>
      <c r="I496" s="12" t="str">
        <f t="shared" si="37"/>
        <v/>
      </c>
      <c r="J496" s="12" t="str">
        <f t="shared" si="38"/>
        <v/>
      </c>
      <c r="K496" s="12" t="str">
        <f t="shared" si="39"/>
        <v/>
      </c>
      <c r="L496" s="10" t="str">
        <f>IF(Инвентаризация!C496="","",Инвентаризация!M496)</f>
        <v/>
      </c>
      <c r="M496" s="10" t="str">
        <f>IF(Инвентаризация!C496="","",Инвентаризация!N496)</f>
        <v/>
      </c>
      <c r="N496" s="10" t="str">
        <f>IF(Инвентаризация!C496="","",Инвентаризация!O496)</f>
        <v/>
      </c>
      <c r="O496" s="10" t="str">
        <f>IF(Инвентаризация!C496="","",Инвентаризация!P496)</f>
        <v/>
      </c>
      <c r="P496" s="8" t="str">
        <f>IF(Инвентаризация!C496="","",Инвентаризация!Q496)</f>
        <v/>
      </c>
    </row>
    <row r="497" spans="1:16">
      <c r="A497" s="10" t="str">
        <f>IF(Инвентаризация!C497="","",Инвентаризация!B497)</f>
        <v/>
      </c>
      <c r="B497" s="10" t="str">
        <f>IF(Инвентаризация!C497="","",Инвентаризация!C497)</f>
        <v/>
      </c>
      <c r="C497" s="5" t="str">
        <f>IF(Инвентаризация!C497="","",Инвентаризация!D497)</f>
        <v/>
      </c>
      <c r="D497" s="11" t="str">
        <f>IF(Инвентаризация!C497="","",Инвентаризация!E497)</f>
        <v/>
      </c>
      <c r="E497" s="12" t="str">
        <f>IF(Инвентаризация!C497="","",Инвентаризация!F497)</f>
        <v/>
      </c>
      <c r="F497" s="12" t="str">
        <f>IF(Инвентаризация!C497="","",Инвентаризация!G497)</f>
        <v/>
      </c>
      <c r="G497" s="12" t="str">
        <f t="shared" si="35"/>
        <v/>
      </c>
      <c r="H497" s="13" t="str">
        <f t="shared" si="36"/>
        <v/>
      </c>
      <c r="I497" s="12" t="str">
        <f t="shared" si="37"/>
        <v/>
      </c>
      <c r="J497" s="12" t="str">
        <f t="shared" si="38"/>
        <v/>
      </c>
      <c r="K497" s="12" t="str">
        <f t="shared" si="39"/>
        <v/>
      </c>
      <c r="L497" s="10" t="str">
        <f>IF(Инвентаризация!C497="","",Инвентаризация!M497)</f>
        <v/>
      </c>
      <c r="M497" s="10" t="str">
        <f>IF(Инвентаризация!C497="","",Инвентаризация!N497)</f>
        <v/>
      </c>
      <c r="N497" s="10" t="str">
        <f>IF(Инвентаризация!C497="","",Инвентаризация!O497)</f>
        <v/>
      </c>
      <c r="O497" s="10" t="str">
        <f>IF(Инвентаризация!C497="","",Инвентаризация!P497)</f>
        <v/>
      </c>
      <c r="P497" s="8" t="str">
        <f>IF(Инвентаризация!C497="","",Инвентаризация!Q497)</f>
        <v/>
      </c>
    </row>
    <row r="498" spans="1:16">
      <c r="A498" s="10" t="str">
        <f>IF(Инвентаризация!C498="","",Инвентаризация!B498)</f>
        <v/>
      </c>
      <c r="B498" s="10" t="str">
        <f>IF(Инвентаризация!C498="","",Инвентаризация!C498)</f>
        <v/>
      </c>
      <c r="C498" s="5" t="str">
        <f>IF(Инвентаризация!C498="","",Инвентаризация!D498)</f>
        <v/>
      </c>
      <c r="D498" s="11" t="str">
        <f>IF(Инвентаризация!C498="","",Инвентаризация!E498)</f>
        <v/>
      </c>
      <c r="E498" s="12" t="str">
        <f>IF(Инвентаризация!C498="","",Инвентаризация!F498)</f>
        <v/>
      </c>
      <c r="F498" s="12" t="str">
        <f>IF(Инвентаризация!C498="","",Инвентаризация!G498)</f>
        <v/>
      </c>
      <c r="G498" s="12" t="str">
        <f t="shared" si="35"/>
        <v/>
      </c>
      <c r="H498" s="13" t="str">
        <f t="shared" si="36"/>
        <v/>
      </c>
      <c r="I498" s="12" t="str">
        <f t="shared" si="37"/>
        <v/>
      </c>
      <c r="J498" s="12" t="str">
        <f t="shared" si="38"/>
        <v/>
      </c>
      <c r="K498" s="12" t="str">
        <f t="shared" si="39"/>
        <v/>
      </c>
      <c r="L498" s="10" t="str">
        <f>IF(Инвентаризация!C498="","",Инвентаризация!M498)</f>
        <v/>
      </c>
      <c r="M498" s="10" t="str">
        <f>IF(Инвентаризация!C498="","",Инвентаризация!N498)</f>
        <v/>
      </c>
      <c r="N498" s="10" t="str">
        <f>IF(Инвентаризация!C498="","",Инвентаризация!O498)</f>
        <v/>
      </c>
      <c r="O498" s="10" t="str">
        <f>IF(Инвентаризация!C498="","",Инвентаризация!P498)</f>
        <v/>
      </c>
      <c r="P498" s="8" t="str">
        <f>IF(Инвентаризация!C498="","",Инвентаризация!Q498)</f>
        <v/>
      </c>
    </row>
    <row r="499" spans="1:16">
      <c r="A499" s="10" t="str">
        <f>IF(Инвентаризация!C499="","",Инвентаризация!B499)</f>
        <v/>
      </c>
      <c r="B499" s="10" t="str">
        <f>IF(Инвентаризация!C499="","",Инвентаризация!C499)</f>
        <v/>
      </c>
      <c r="C499" s="5" t="str">
        <f>IF(Инвентаризация!C499="","",Инвентаризация!D499)</f>
        <v/>
      </c>
      <c r="D499" s="11" t="str">
        <f>IF(Инвентаризация!C499="","",Инвентаризация!E499)</f>
        <v/>
      </c>
      <c r="E499" s="12" t="str">
        <f>IF(Инвентаризация!C499="","",Инвентаризация!F499)</f>
        <v/>
      </c>
      <c r="F499" s="12" t="str">
        <f>IF(Инвентаризация!C499="","",Инвентаризация!G499)</f>
        <v/>
      </c>
      <c r="G499" s="12" t="str">
        <f t="shared" si="35"/>
        <v/>
      </c>
      <c r="H499" s="13" t="str">
        <f t="shared" si="36"/>
        <v/>
      </c>
      <c r="I499" s="12" t="str">
        <f t="shared" si="37"/>
        <v/>
      </c>
      <c r="J499" s="12" t="str">
        <f t="shared" si="38"/>
        <v/>
      </c>
      <c r="K499" s="12" t="str">
        <f t="shared" si="39"/>
        <v/>
      </c>
      <c r="L499" s="10" t="str">
        <f>IF(Инвентаризация!C499="","",Инвентаризация!M499)</f>
        <v/>
      </c>
      <c r="M499" s="10" t="str">
        <f>IF(Инвентаризация!C499="","",Инвентаризация!N499)</f>
        <v/>
      </c>
      <c r="N499" s="10" t="str">
        <f>IF(Инвентаризация!C499="","",Инвентаризация!O499)</f>
        <v/>
      </c>
      <c r="O499" s="10" t="str">
        <f>IF(Инвентаризация!C499="","",Инвентаризация!P499)</f>
        <v/>
      </c>
      <c r="P499" s="8" t="str">
        <f>IF(Инвентаризация!C499="","",Инвентаризация!Q499)</f>
        <v/>
      </c>
    </row>
    <row r="500" spans="1:16">
      <c r="A500" s="10" t="str">
        <f>IF(Инвентаризация!C500="","",Инвентаризация!B500)</f>
        <v/>
      </c>
      <c r="B500" s="10" t="str">
        <f>IF(Инвентаризация!C500="","",Инвентаризация!C500)</f>
        <v/>
      </c>
      <c r="C500" s="5" t="str">
        <f>IF(Инвентаризация!C500="","",Инвентаризация!D500)</f>
        <v/>
      </c>
      <c r="D500" s="11" t="str">
        <f>IF(Инвентаризация!C500="","",Инвентаризация!E500)</f>
        <v/>
      </c>
      <c r="E500" s="12" t="str">
        <f>IF(Инвентаризация!C500="","",Инвентаризация!F500)</f>
        <v/>
      </c>
      <c r="F500" s="12" t="str">
        <f>IF(Инвентаризация!C500="","",Инвентаризация!G500)</f>
        <v/>
      </c>
      <c r="G500" s="12" t="str">
        <f t="shared" si="35"/>
        <v/>
      </c>
      <c r="H500" s="13" t="str">
        <f t="shared" si="36"/>
        <v/>
      </c>
      <c r="I500" s="12" t="str">
        <f t="shared" si="37"/>
        <v/>
      </c>
      <c r="J500" s="12" t="str">
        <f t="shared" si="38"/>
        <v/>
      </c>
      <c r="K500" s="12" t="str">
        <f t="shared" si="39"/>
        <v/>
      </c>
      <c r="L500" s="10" t="str">
        <f>IF(Инвентаризация!C500="","",Инвентаризация!M500)</f>
        <v/>
      </c>
      <c r="M500" s="10" t="str">
        <f>IF(Инвентаризация!C500="","",Инвентаризация!N500)</f>
        <v/>
      </c>
      <c r="N500" s="10" t="str">
        <f>IF(Инвентаризация!C500="","",Инвентаризация!O500)</f>
        <v/>
      </c>
      <c r="O500" s="10" t="str">
        <f>IF(Инвентаризация!C500="","",Инвентаризация!P500)</f>
        <v/>
      </c>
      <c r="P500" s="8" t="str">
        <f>IF(Инвентаризация!C500="","",Инвентаризация!Q500)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S21" sqref="S21"/>
    </sheetView>
  </sheetViews>
  <sheetFormatPr defaultRowHeight="14.25"/>
  <cols>
    <col min="1" max="1" width="31" customWidth="1"/>
    <col min="2" max="2" width="18" customWidth="1"/>
    <col min="4" max="4" width="28" customWidth="1"/>
    <col min="5" max="5" width="16" customWidth="1"/>
  </cols>
  <sheetData>
    <row r="1" spans="1:5" ht="32.1" customHeight="1">
      <c r="A1" s="14" t="s">
        <v>27</v>
      </c>
      <c r="B1" s="14"/>
      <c r="C1" s="14"/>
      <c r="D1" s="14"/>
    </row>
    <row r="3" spans="1:5" ht="15">
      <c r="A3" s="1" t="s">
        <v>28</v>
      </c>
      <c r="B3" s="3" t="s">
        <v>29</v>
      </c>
      <c r="D3" s="1" t="s">
        <v>30</v>
      </c>
      <c r="E3" s="3" t="s">
        <v>4</v>
      </c>
    </row>
    <row r="4" spans="1:5">
      <c r="A4" t="s">
        <v>31</v>
      </c>
      <c r="B4">
        <f>COUNTIF(Инвентаризация!C2:C500,"&lt;&gt;")</f>
        <v>8</v>
      </c>
      <c r="D4" t="s">
        <v>32</v>
      </c>
      <c r="E4">
        <f>COUNTIF(Инвентаризация!E2:E500,0)</f>
        <v>0</v>
      </c>
    </row>
    <row r="5" spans="1:5">
      <c r="A5" t="s">
        <v>33</v>
      </c>
      <c r="B5">
        <f>SUM(Инвентаризация!E2:E500)</f>
        <v>9</v>
      </c>
      <c r="D5" t="s">
        <v>34</v>
      </c>
      <c r="E5">
        <f>COUNTIFS(Инвентаризация!E2:E500,"&gt;=1",Инвентаризация!E2:E500,"&lt;=2")</f>
        <v>8</v>
      </c>
    </row>
    <row r="6" spans="1:5">
      <c r="A6" t="s">
        <v>35</v>
      </c>
      <c r="B6" s="4">
        <f>SUMPRODUCT(Инвентаризация!E2:E500,Инвентаризация!F2:F500)</f>
        <v>0</v>
      </c>
      <c r="D6" t="s">
        <v>36</v>
      </c>
      <c r="E6">
        <f>COUNTIF(Инвентаризация!K2:K500,"Нет")</f>
        <v>0</v>
      </c>
    </row>
    <row r="7" spans="1:5">
      <c r="A7" t="s">
        <v>37</v>
      </c>
      <c r="B7" s="4">
        <f>SUMPRODUCT(Инвентаризация!E2:E500,Инвентаризация!G2:G500)</f>
        <v>97000</v>
      </c>
      <c r="D7" t="s">
        <v>38</v>
      </c>
      <c r="E7">
        <f>COUNTIF(Инвентаризация!M2:M500,"Нет")</f>
        <v>0</v>
      </c>
    </row>
    <row r="8" spans="1:5">
      <c r="A8" t="s">
        <v>39</v>
      </c>
      <c r="B8" s="4">
        <f>B7-B6</f>
        <v>97000</v>
      </c>
    </row>
    <row r="9" spans="1:5">
      <c r="A9" t="s">
        <v>40</v>
      </c>
      <c r="B9">
        <f>COUNTIF(Инвентаризация!M2:M500,"Да")</f>
        <v>8</v>
      </c>
    </row>
    <row r="11" spans="1:5" ht="15">
      <c r="A11" s="1" t="s">
        <v>41</v>
      </c>
      <c r="B11" s="3" t="s">
        <v>42</v>
      </c>
    </row>
    <row r="12" spans="1:5">
      <c r="A12" t="s">
        <v>7</v>
      </c>
      <c r="B12">
        <f>COUNTIF(Инвентаризация!H2:H500,"Да")</f>
        <v>8</v>
      </c>
    </row>
    <row r="13" spans="1:5">
      <c r="A13" t="s">
        <v>8</v>
      </c>
      <c r="B13">
        <f>COUNTIF(Инвентаризация!I2:I500,"Да")</f>
        <v>8</v>
      </c>
    </row>
    <row r="14" spans="1:5">
      <c r="A14" t="s">
        <v>9</v>
      </c>
      <c r="B14">
        <f>COUNTIF(Инвентаризация!J2:J500,"Да")</f>
        <v>8</v>
      </c>
    </row>
    <row r="15" spans="1:5">
      <c r="A15" t="s">
        <v>10</v>
      </c>
      <c r="B15">
        <f>COUNTIF(Инвентаризация!K2:K500,"Да")</f>
        <v>8</v>
      </c>
    </row>
    <row r="16" spans="1:5">
      <c r="A16" t="s">
        <v>11</v>
      </c>
      <c r="B16">
        <f>COUNTIF(Инвентаризация!L2:L500,"Да")</f>
        <v>8</v>
      </c>
    </row>
    <row r="17" spans="1:2">
      <c r="A17" t="s">
        <v>12</v>
      </c>
      <c r="B17">
        <f>COUNTIF(Инвентаризация!M2:M500,"Да")</f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Инвентаризация</vt:lpstr>
      <vt:lpstr>Склад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Зуев</cp:lastModifiedBy>
  <dcterms:modified xsi:type="dcterms:W3CDTF">2026-08-05T05:21:14Z</dcterms:modified>
</cp:coreProperties>
</file>